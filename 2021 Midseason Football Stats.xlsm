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PFSPRDAPAWSE01\userdata$\shilts\Documents\Personal\"/>
    </mc:Choice>
  </mc:AlternateContent>
  <xr:revisionPtr revIDLastSave="0" documentId="13_ncr:1_{7840B336-A143-4779-904E-FE88229143C1}" xr6:coauthVersionLast="47" xr6:coauthVersionMax="47" xr10:uidLastSave="{00000000-0000-0000-0000-000000000000}"/>
  <bookViews>
    <workbookView xWindow="-120" yWindow="-120" windowWidth="29040" windowHeight="15990" xr2:uid="{41DFFE5D-6F9D-491B-8B66-C5BAC65F9658}"/>
  </bookViews>
  <sheets>
    <sheet name="Standings" sheetId="6" r:id="rId1"/>
    <sheet name="Schedule" sheetId="5" r:id="rId2"/>
  </sheets>
  <calcPr calcId="191029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3" i="6" l="1"/>
  <c r="R13" i="6"/>
  <c r="R9" i="6"/>
  <c r="R8" i="6"/>
  <c r="R7" i="6"/>
  <c r="R6" i="6"/>
  <c r="R5" i="6"/>
  <c r="A39" i="6"/>
  <c r="R18" i="6"/>
  <c r="R17" i="6"/>
  <c r="B40" i="6" l="1"/>
  <c r="B41" i="6"/>
  <c r="B42" i="6"/>
  <c r="B43" i="6"/>
  <c r="B44" i="6"/>
  <c r="B45" i="6"/>
  <c r="B46" i="6"/>
  <c r="B47" i="6"/>
  <c r="B48" i="6"/>
  <c r="B49" i="6"/>
  <c r="B50" i="6"/>
  <c r="B39" i="6"/>
  <c r="A40" i="6"/>
  <c r="A41" i="6"/>
  <c r="A42" i="6"/>
  <c r="A43" i="6"/>
  <c r="A44" i="6"/>
  <c r="A45" i="6"/>
  <c r="A46" i="6"/>
  <c r="A47" i="6"/>
  <c r="A48" i="6"/>
  <c r="A49" i="6"/>
  <c r="A50" i="6"/>
  <c r="Q16" i="6"/>
  <c r="P16" i="6"/>
  <c r="O16" i="6"/>
  <c r="N16" i="6"/>
  <c r="Q15" i="6"/>
  <c r="P15" i="6"/>
  <c r="O15" i="6"/>
  <c r="N15" i="6"/>
  <c r="Q14" i="6"/>
  <c r="P14" i="6"/>
  <c r="O14" i="6"/>
  <c r="N14" i="6"/>
  <c r="Q13" i="6"/>
  <c r="P13" i="6"/>
  <c r="O13" i="6"/>
  <c r="N13" i="6"/>
  <c r="Q12" i="6"/>
  <c r="P12" i="6"/>
  <c r="O12" i="6"/>
  <c r="N12" i="6"/>
  <c r="Q11" i="6"/>
  <c r="P11" i="6"/>
  <c r="O11" i="6"/>
  <c r="N11" i="6"/>
  <c r="Q10" i="6"/>
  <c r="P10" i="6"/>
  <c r="O10" i="6"/>
  <c r="N10" i="6"/>
  <c r="Q9" i="6"/>
  <c r="P9" i="6"/>
  <c r="O9" i="6"/>
  <c r="N9" i="6"/>
  <c r="Q8" i="6"/>
  <c r="P8" i="6"/>
  <c r="O8" i="6"/>
  <c r="N8" i="6"/>
  <c r="Q7" i="6"/>
  <c r="P7" i="6"/>
  <c r="O7" i="6"/>
  <c r="N7" i="6"/>
  <c r="Q6" i="6"/>
  <c r="P6" i="6"/>
  <c r="O6" i="6"/>
  <c r="N6" i="6"/>
  <c r="Q5" i="6"/>
  <c r="P5" i="6"/>
  <c r="O5" i="6"/>
  <c r="N5" i="6"/>
  <c r="S22" i="6"/>
  <c r="T22" i="6"/>
  <c r="S23" i="6"/>
  <c r="T23" i="6"/>
  <c r="S24" i="6"/>
  <c r="T24" i="6"/>
  <c r="S25" i="6"/>
  <c r="T25" i="6"/>
  <c r="S26" i="6"/>
  <c r="T26" i="6"/>
  <c r="S27" i="6"/>
  <c r="T27" i="6"/>
  <c r="S28" i="6"/>
  <c r="T28" i="6"/>
  <c r="S29" i="6"/>
  <c r="T29" i="6"/>
  <c r="S30" i="6"/>
  <c r="T30" i="6"/>
  <c r="S31" i="6"/>
  <c r="T31" i="6"/>
  <c r="S32" i="6"/>
  <c r="T32" i="6"/>
  <c r="T21" i="6"/>
  <c r="S21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2" i="6"/>
  <c r="W22" i="6" s="1"/>
  <c r="D23" i="6"/>
  <c r="D24" i="6"/>
  <c r="D25" i="6"/>
  <c r="D26" i="6"/>
  <c r="W26" i="6" s="1"/>
  <c r="D27" i="6"/>
  <c r="D28" i="6"/>
  <c r="D29" i="6"/>
  <c r="W29" i="6" s="1"/>
  <c r="D30" i="6"/>
  <c r="W30" i="6" s="1"/>
  <c r="D31" i="6"/>
  <c r="D32" i="6"/>
  <c r="D21" i="6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3" i="5"/>
  <c r="W19" i="6" l="1"/>
  <c r="U21" i="6"/>
  <c r="W25" i="6"/>
  <c r="W32" i="6"/>
  <c r="W28" i="6"/>
  <c r="W24" i="6"/>
  <c r="W31" i="6"/>
  <c r="W27" i="6"/>
  <c r="W23" i="6"/>
  <c r="U32" i="6"/>
  <c r="U28" i="6"/>
  <c r="U24" i="6"/>
  <c r="V32" i="6"/>
  <c r="V28" i="6"/>
  <c r="V24" i="6"/>
  <c r="U31" i="6"/>
  <c r="U27" i="6"/>
  <c r="U23" i="6"/>
  <c r="V31" i="6"/>
  <c r="V27" i="6"/>
  <c r="V23" i="6"/>
  <c r="U30" i="6"/>
  <c r="U26" i="6"/>
  <c r="U22" i="6"/>
  <c r="V30" i="6"/>
  <c r="V26" i="6"/>
  <c r="V22" i="6"/>
  <c r="U29" i="6"/>
  <c r="U25" i="6"/>
  <c r="V21" i="6"/>
  <c r="V29" i="6"/>
  <c r="V25" i="6"/>
  <c r="W21" i="6"/>
  <c r="U5" i="6" l="1"/>
  <c r="T5" i="6"/>
  <c r="S5" i="6"/>
  <c r="S6" i="6"/>
  <c r="T6" i="6"/>
  <c r="U6" i="6"/>
  <c r="T11" i="6"/>
  <c r="S11" i="6"/>
  <c r="R11" i="6"/>
  <c r="U11" i="6"/>
  <c r="U8" i="6"/>
  <c r="T8" i="6"/>
  <c r="S8" i="6"/>
  <c r="T7" i="6"/>
  <c r="S7" i="6"/>
  <c r="U7" i="6"/>
  <c r="U9" i="6"/>
  <c r="S9" i="6"/>
  <c r="T9" i="6"/>
  <c r="S10" i="6"/>
  <c r="R10" i="6"/>
  <c r="U10" i="6"/>
  <c r="T10" i="6"/>
  <c r="T15" i="6"/>
  <c r="S15" i="6"/>
  <c r="R15" i="6"/>
  <c r="U15" i="6"/>
  <c r="U12" i="6"/>
  <c r="T12" i="6"/>
  <c r="U13" i="6"/>
  <c r="T13" i="6"/>
  <c r="S14" i="6"/>
  <c r="R14" i="6"/>
  <c r="U14" i="6"/>
  <c r="T14" i="6"/>
  <c r="U16" i="6"/>
  <c r="T16" i="6"/>
  <c r="S16" i="6"/>
  <c r="R16" i="6"/>
  <c r="W14" i="6" l="1"/>
  <c r="AA14" i="6" s="1"/>
  <c r="Y7" i="6"/>
  <c r="AC7" i="6" s="1"/>
  <c r="Y14" i="6"/>
  <c r="AC14" i="6" s="1"/>
  <c r="W6" i="6"/>
  <c r="AA6" i="6" s="1"/>
  <c r="V9" i="6"/>
  <c r="AE10" i="6"/>
  <c r="W13" i="6"/>
  <c r="X7" i="6"/>
  <c r="AB7" i="6" s="1"/>
  <c r="W15" i="6"/>
  <c r="AA15" i="6" s="1"/>
  <c r="W12" i="6"/>
  <c r="X12" i="6"/>
  <c r="AB12" i="6" s="1"/>
  <c r="Y12" i="6"/>
  <c r="AC12" i="6" s="1"/>
  <c r="X9" i="6"/>
  <c r="AB9" i="6" s="1"/>
  <c r="W11" i="6"/>
  <c r="AA11" i="6" s="1"/>
  <c r="W7" i="6"/>
  <c r="AA7" i="6" s="1"/>
  <c r="W9" i="6"/>
  <c r="AA9" i="6" s="1"/>
  <c r="X5" i="6"/>
  <c r="AB5" i="6" s="1"/>
  <c r="Y15" i="6"/>
  <c r="AC15" i="6" s="1"/>
  <c r="Y9" i="6"/>
  <c r="AC9" i="6" s="1"/>
  <c r="X8" i="6"/>
  <c r="AB8" i="6" s="1"/>
  <c r="Y8" i="6"/>
  <c r="AC8" i="6" s="1"/>
  <c r="V5" i="6"/>
  <c r="AE14" i="6"/>
  <c r="X10" i="6"/>
  <c r="AB10" i="6" s="1"/>
  <c r="Y11" i="6"/>
  <c r="AC11" i="6" s="1"/>
  <c r="X13" i="6"/>
  <c r="AB13" i="6" s="1"/>
  <c r="Y6" i="6"/>
  <c r="AC6" i="6" s="1"/>
  <c r="X11" i="6"/>
  <c r="AB11" i="6" s="1"/>
  <c r="Y16" i="6"/>
  <c r="AC16" i="6" s="1"/>
  <c r="V8" i="6"/>
  <c r="AE11" i="6"/>
  <c r="X14" i="6"/>
  <c r="AB14" i="6" s="1"/>
  <c r="X6" i="6"/>
  <c r="AB6" i="6" s="1"/>
  <c r="V6" i="6"/>
  <c r="AE16" i="6"/>
  <c r="W16" i="6"/>
  <c r="AA16" i="6" s="1"/>
  <c r="X16" i="6"/>
  <c r="AB16" i="6" s="1"/>
  <c r="V7" i="6"/>
  <c r="AE15" i="6"/>
  <c r="Y5" i="6"/>
  <c r="AC5" i="6" s="1"/>
  <c r="X15" i="6"/>
  <c r="AB15" i="6" s="1"/>
  <c r="Y13" i="6"/>
  <c r="AC13" i="6" s="1"/>
  <c r="W10" i="6"/>
  <c r="AA10" i="6" s="1"/>
  <c r="Y10" i="6"/>
  <c r="AC10" i="6" s="1"/>
  <c r="S12" i="6" l="1"/>
  <c r="W5" i="6" s="1"/>
  <c r="AA5" i="6" s="1"/>
  <c r="W8" i="6"/>
  <c r="AA8" i="6" s="1"/>
  <c r="V10" i="6"/>
  <c r="Z10" i="6" s="1"/>
  <c r="AE9" i="6"/>
  <c r="Z9" i="6"/>
  <c r="V11" i="6"/>
  <c r="Z11" i="6" s="1"/>
  <c r="AE8" i="6"/>
  <c r="Z8" i="6"/>
  <c r="V15" i="6"/>
  <c r="Z15" i="6" s="1"/>
  <c r="AE7" i="6"/>
  <c r="Z7" i="6"/>
  <c r="AE6" i="6"/>
  <c r="V16" i="6"/>
  <c r="Z16" i="6" s="1"/>
  <c r="Z6" i="6"/>
  <c r="AE5" i="6"/>
  <c r="V14" i="6"/>
  <c r="Z14" i="6" s="1"/>
  <c r="Z5" i="6"/>
  <c r="AH5" i="6" l="1"/>
  <c r="AA12" i="6"/>
  <c r="AD15" i="6"/>
  <c r="AF15" i="6" s="1"/>
  <c r="AH15" i="6"/>
  <c r="AD9" i="6"/>
  <c r="AF9" i="6" s="1"/>
  <c r="AH9" i="6"/>
  <c r="AD14" i="6"/>
  <c r="AF14" i="6" s="1"/>
  <c r="AH14" i="6"/>
  <c r="AH8" i="6"/>
  <c r="AD7" i="6"/>
  <c r="AF7" i="6" s="1"/>
  <c r="AH7" i="6"/>
  <c r="AD10" i="6"/>
  <c r="AF10" i="6" s="1"/>
  <c r="AH10" i="6"/>
  <c r="AD16" i="6"/>
  <c r="AF16" i="6" s="1"/>
  <c r="AH16" i="6"/>
  <c r="AD6" i="6"/>
  <c r="AF6" i="6" s="1"/>
  <c r="AH6" i="6"/>
  <c r="AD11" i="6"/>
  <c r="AF11" i="6" s="1"/>
  <c r="AH11" i="6"/>
  <c r="AD5" i="6"/>
  <c r="AF5" i="6" s="1"/>
  <c r="AD8" i="6"/>
  <c r="AF8" i="6" s="1"/>
  <c r="AA13" i="6"/>
  <c r="AE13" i="6" l="1"/>
  <c r="V12" i="6"/>
  <c r="R12" i="6" s="1"/>
  <c r="V13" i="6" s="1"/>
  <c r="Z13" i="6" s="1"/>
  <c r="AD13" i="6" l="1"/>
  <c r="AF13" i="6" s="1"/>
  <c r="AH13" i="6"/>
  <c r="AE12" i="6"/>
  <c r="Z12" i="6"/>
  <c r="AD12" i="6" l="1"/>
  <c r="AF12" i="6" s="1"/>
  <c r="AG13" i="6" s="1"/>
  <c r="AH12" i="6"/>
  <c r="AG8" i="6" l="1"/>
  <c r="AG7" i="6"/>
  <c r="AG5" i="6"/>
  <c r="AG16" i="6"/>
  <c r="AG15" i="6"/>
  <c r="AG9" i="6"/>
  <c r="AG10" i="6"/>
  <c r="AG14" i="6"/>
  <c r="AG6" i="6"/>
  <c r="AG11" i="6"/>
  <c r="AG12" i="6"/>
  <c r="AG17" i="6" l="1"/>
  <c r="AG18" i="6"/>
</calcChain>
</file>

<file path=xl/sharedStrings.xml><?xml version="1.0" encoding="utf-8"?>
<sst xmlns="http://schemas.openxmlformats.org/spreadsheetml/2006/main" count="1269" uniqueCount="119">
  <si>
    <t>Dan Cohen</t>
  </si>
  <si>
    <t>Robert Hilton</t>
  </si>
  <si>
    <t>William Schager</t>
  </si>
  <si>
    <t>Andrew Joynt</t>
  </si>
  <si>
    <t>Paulo Silva</t>
  </si>
  <si>
    <t>mark silva</t>
  </si>
  <si>
    <t>Karl Richardson</t>
  </si>
  <si>
    <t>Stefan Hilts</t>
  </si>
  <si>
    <t>Emile Chin-Dickey</t>
  </si>
  <si>
    <t>Jesse Hershman, Rafael Dionello</t>
  </si>
  <si>
    <t>Greg Smith</t>
  </si>
  <si>
    <t>Stephen Joynt</t>
  </si>
  <si>
    <t>Tua and The Toucans</t>
  </si>
  <si>
    <t>Najees Iguana Cabana</t>
  </si>
  <si>
    <t>Cameroon Crusaders</t>
  </si>
  <si>
    <t>Belted Kingfishers</t>
  </si>
  <si>
    <t>Three Toed Sloths</t>
  </si>
  <si>
    <t>🐼🐼 In the Mist</t>
  </si>
  <si>
    <t>Woodsy WoodsTucker</t>
  </si>
  <si>
    <t>Spangled Drongos</t>
  </si>
  <si>
    <t>Terminator Termites</t>
  </si>
  <si>
    <t>inorest (no Raf)</t>
  </si>
  <si>
    <t>Aye-Aye Captains</t>
  </si>
  <si>
    <t>Western Green Mamba</t>
  </si>
  <si>
    <t>Tua and The Toucans(6-4-0)</t>
  </si>
  <si>
    <t>Najees Iguana Cabana(2-7-1)</t>
  </si>
  <si>
    <t>Cameroon Crusaders(3-7-0)</t>
  </si>
  <si>
    <t>Belted Kingfishers(2-8-0)</t>
  </si>
  <si>
    <t>Three Toed Sloths(6-4-0)</t>
  </si>
  <si>
    <t>🐼🐼 In the Mist(6-4-0)</t>
  </si>
  <si>
    <t>Woodsy WoodsTucker(4-5-1)</t>
  </si>
  <si>
    <t>Spangled Drongos(9-1-0)</t>
  </si>
  <si>
    <t>Terminator Termites(5-4-1)</t>
  </si>
  <si>
    <t>inorest (no Raf)(5-4-1)</t>
  </si>
  <si>
    <t>Aye-Aye Captains(6-4-0)</t>
  </si>
  <si>
    <t>Western Green Mamba(4-6-0)</t>
  </si>
  <si>
    <t>Name</t>
  </si>
  <si>
    <t>Owner</t>
  </si>
  <si>
    <t>Score1</t>
  </si>
  <si>
    <t>Score2</t>
  </si>
  <si>
    <t>Owner2</t>
  </si>
  <si>
    <t>Name2</t>
  </si>
  <si>
    <t>Week</t>
  </si>
  <si>
    <t>GB</t>
  </si>
  <si>
    <t>--</t>
  </si>
  <si>
    <t>Wins</t>
  </si>
  <si>
    <t>Losses</t>
  </si>
  <si>
    <t>Ties</t>
  </si>
  <si>
    <t>Pct</t>
  </si>
  <si>
    <t>Playoff</t>
  </si>
  <si>
    <t>PF</t>
  </si>
  <si>
    <t>PA</t>
  </si>
  <si>
    <t>STRK</t>
  </si>
  <si>
    <t>MOVES</t>
  </si>
  <si>
    <t>W1</t>
  </si>
  <si>
    <t>L1</t>
  </si>
  <si>
    <t>W2</t>
  </si>
  <si>
    <t>W3</t>
  </si>
  <si>
    <t>L3</t>
  </si>
  <si>
    <t>L2</t>
  </si>
  <si>
    <t>Rank</t>
  </si>
  <si>
    <t>Team</t>
  </si>
  <si>
    <t>Dupe?</t>
  </si>
  <si>
    <t>High Week</t>
  </si>
  <si>
    <t>Low Week</t>
  </si>
  <si>
    <t>Ownerweek</t>
  </si>
  <si>
    <t>Highs</t>
  </si>
  <si>
    <t>Lows</t>
  </si>
  <si>
    <t>Avg</t>
  </si>
  <si>
    <t>Min</t>
  </si>
  <si>
    <t>StDev</t>
  </si>
  <si>
    <t>Opp</t>
  </si>
  <si>
    <t>Own Score</t>
  </si>
  <si>
    <t>Opp Score</t>
  </si>
  <si>
    <t>W/L</t>
  </si>
  <si>
    <t>End WP</t>
  </si>
  <si>
    <t>End Pts</t>
  </si>
  <si>
    <t>Playoffs</t>
  </si>
  <si>
    <t>Bye</t>
  </si>
  <si>
    <t>End Rank</t>
  </si>
  <si>
    <t>Base</t>
  </si>
  <si>
    <t>Karl wins this week</t>
  </si>
  <si>
    <t>Karl loses this week</t>
  </si>
  <si>
    <t>Loses</t>
  </si>
  <si>
    <t>Win week 11</t>
  </si>
  <si>
    <t>Lose Week 11</t>
  </si>
  <si>
    <t>100 (100)</t>
  </si>
  <si>
    <t>99 (61)</t>
  </si>
  <si>
    <t>90 (23)</t>
  </si>
  <si>
    <t>98 (33)</t>
  </si>
  <si>
    <t>80 (16)</t>
  </si>
  <si>
    <t>57 (2)</t>
  </si>
  <si>
    <t>71 (9)</t>
  </si>
  <si>
    <t>96 (9)</t>
  </si>
  <si>
    <t>39 (0)</t>
  </si>
  <si>
    <t>88 (14)</t>
  </si>
  <si>
    <t>53 (0)</t>
  </si>
  <si>
    <t>89 (10)</t>
  </si>
  <si>
    <t>48 (2)</t>
  </si>
  <si>
    <t>42 (1)</t>
  </si>
  <si>
    <t>9 (0)</t>
  </si>
  <si>
    <t>8 (0)</t>
  </si>
  <si>
    <t>30 (1)</t>
  </si>
  <si>
    <t>Worst Make</t>
  </si>
  <si>
    <t>Best Miss</t>
  </si>
  <si>
    <t>6-7-1</t>
  </si>
  <si>
    <t>7-6-1</t>
  </si>
  <si>
    <t>7-7-0</t>
  </si>
  <si>
    <t>8-6-0</t>
  </si>
  <si>
    <t>6-8-0</t>
  </si>
  <si>
    <t>8-5-1</t>
  </si>
  <si>
    <t>Makes</t>
  </si>
  <si>
    <t>Misses</t>
  </si>
  <si>
    <t>Row Labels</t>
  </si>
  <si>
    <t>Grand Total</t>
  </si>
  <si>
    <t>Count of Makes</t>
  </si>
  <si>
    <t>Count of Misses</t>
  </si>
  <si>
    <t>Worst to make</t>
  </si>
  <si>
    <t>Best to Miss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</si>
</sst>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797B7D"/>
      <name val="Segoe UI"/>
      <family val="2"/>
    </font>
    <font>
      <b/>
      <sz val="9"/>
      <color rgb="FF797B7D"/>
      <name val="Segoe UI"/>
      <family val="2"/>
    </font>
    <font>
      <b/>
      <u/>
      <sz val="8"/>
      <color rgb="FF151617"/>
      <name val="Segoe UI"/>
      <family val="2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F1F2F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 vertical="center" indent="1"/>
    </xf>
    <xf numFmtId="0" fontId="4" fillId="0" borderId="1" xfId="0" applyFont="1" applyBorder="1" applyAlignment="1">
      <alignment horizontal="right" vertical="center" indent="1"/>
    </xf>
    <xf numFmtId="0" fontId="3" fillId="0" borderId="0" xfId="0" applyFont="1" applyAlignment="1">
      <alignment horizontal="right" vertical="center" indent="1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2" borderId="2" xfId="0" applyFont="1" applyFill="1" applyBorder="1"/>
    <xf numFmtId="0" fontId="5" fillId="2" borderId="2" xfId="0" applyFont="1" applyFill="1" applyBorder="1" applyAlignment="1">
      <alignment horizontal="right" vertical="center" indent="1"/>
    </xf>
    <xf numFmtId="0" fontId="2" fillId="2" borderId="2" xfId="0" applyFont="1" applyFill="1" applyBorder="1" applyAlignment="1">
      <alignment horizontal="center"/>
    </xf>
    <xf numFmtId="0" fontId="6" fillId="0" borderId="0" xfId="0" applyFont="1"/>
    <xf numFmtId="9" fontId="0" fillId="0" borderId="0" xfId="1" applyFont="1" applyAlignment="1">
      <alignment horizontal="center"/>
    </xf>
    <xf numFmtId="0" fontId="2" fillId="2" borderId="3" xfId="0" applyFont="1" applyFill="1" applyBorder="1" applyAlignment="1">
      <alignment horizontal="center"/>
    </xf>
    <xf numFmtId="164" fontId="0" fillId="0" borderId="0" xfId="1" applyNumberFormat="1" applyFont="1"/>
    <xf numFmtId="1" fontId="0" fillId="3" borderId="0" xfId="0" applyNumberForma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304800</xdr:colOff>
      <xdr:row>5</xdr:row>
      <xdr:rowOff>104775</xdr:rowOff>
    </xdr:to>
    <xdr:sp macro="" textlink="">
      <xdr:nvSpPr>
        <xdr:cNvPr id="6145" name="AutoShape 1">
          <a:extLst>
            <a:ext uri="{FF2B5EF4-FFF2-40B4-BE49-F238E27FC236}">
              <a16:creationId xmlns:a16="http://schemas.microsoft.com/office/drawing/2014/main" id="{E0BF8A9E-FC50-430F-8B7B-C34D96376B8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304800</xdr:colOff>
      <xdr:row>13</xdr:row>
      <xdr:rowOff>104775</xdr:rowOff>
    </xdr:to>
    <xdr:sp macro="" textlink="">
      <xdr:nvSpPr>
        <xdr:cNvPr id="6146" name="AutoShape 2">
          <a:extLst>
            <a:ext uri="{FF2B5EF4-FFF2-40B4-BE49-F238E27FC236}">
              <a16:creationId xmlns:a16="http://schemas.microsoft.com/office/drawing/2014/main" id="{D6EA1BF6-D9A8-4CCD-BCBD-D934A8266593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1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304800</xdr:colOff>
      <xdr:row>15</xdr:row>
      <xdr:rowOff>104775</xdr:rowOff>
    </xdr:to>
    <xdr:sp macro="" textlink="">
      <xdr:nvSpPr>
        <xdr:cNvPr id="6147" name="AutoShape 3">
          <a:extLst>
            <a:ext uri="{FF2B5EF4-FFF2-40B4-BE49-F238E27FC236}">
              <a16:creationId xmlns:a16="http://schemas.microsoft.com/office/drawing/2014/main" id="{36FA8488-CDFF-41D6-A783-94B26E618866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58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114300</xdr:rowOff>
    </xdr:to>
    <xdr:sp macro="" textlink="">
      <xdr:nvSpPr>
        <xdr:cNvPr id="6148" name="AutoShape 4">
          <a:extLst>
            <a:ext uri="{FF2B5EF4-FFF2-40B4-BE49-F238E27FC236}">
              <a16:creationId xmlns:a16="http://schemas.microsoft.com/office/drawing/2014/main" id="{F68D3AE7-E9F0-4D74-9228-534515CD366E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104775</xdr:rowOff>
    </xdr:to>
    <xdr:sp macro="" textlink="">
      <xdr:nvSpPr>
        <xdr:cNvPr id="6149" name="AutoShape 5">
          <a:extLst>
            <a:ext uri="{FF2B5EF4-FFF2-40B4-BE49-F238E27FC236}">
              <a16:creationId xmlns:a16="http://schemas.microsoft.com/office/drawing/2014/main" id="{FDBE69A6-9E50-49C2-93C3-0FB55EC76E53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9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104775</xdr:rowOff>
    </xdr:to>
    <xdr:sp macro="" textlink="">
      <xdr:nvSpPr>
        <xdr:cNvPr id="6150" name="AutoShape 6">
          <a:extLst>
            <a:ext uri="{FF2B5EF4-FFF2-40B4-BE49-F238E27FC236}">
              <a16:creationId xmlns:a16="http://schemas.microsoft.com/office/drawing/2014/main" id="{D9738004-345C-4120-9602-A84584F6E977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3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114300</xdr:rowOff>
    </xdr:to>
    <xdr:sp macro="" textlink="">
      <xdr:nvSpPr>
        <xdr:cNvPr id="6151" name="AutoShape 7">
          <a:extLst>
            <a:ext uri="{FF2B5EF4-FFF2-40B4-BE49-F238E27FC236}">
              <a16:creationId xmlns:a16="http://schemas.microsoft.com/office/drawing/2014/main" id="{3C608CBE-8B66-4D4B-8874-39057E6C8746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77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304800</xdr:colOff>
      <xdr:row>19</xdr:row>
      <xdr:rowOff>114300</xdr:rowOff>
    </xdr:to>
    <xdr:sp macro="" textlink="">
      <xdr:nvSpPr>
        <xdr:cNvPr id="6152" name="AutoShape 8">
          <a:extLst>
            <a:ext uri="{FF2B5EF4-FFF2-40B4-BE49-F238E27FC236}">
              <a16:creationId xmlns:a16="http://schemas.microsoft.com/office/drawing/2014/main" id="{80D33BB9-7376-4628-B49E-4206186C35EA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36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304800</xdr:colOff>
      <xdr:row>26</xdr:row>
      <xdr:rowOff>114300</xdr:rowOff>
    </xdr:to>
    <xdr:sp macro="" textlink="">
      <xdr:nvSpPr>
        <xdr:cNvPr id="6153" name="AutoShape 9">
          <a:extLst>
            <a:ext uri="{FF2B5EF4-FFF2-40B4-BE49-F238E27FC236}">
              <a16:creationId xmlns:a16="http://schemas.microsoft.com/office/drawing/2014/main" id="{428EFB7A-25B1-46C0-A055-76DFE62E2991}"/>
            </a:ext>
          </a:extLst>
        </xdr:cNvPr>
        <xdr:cNvSpPr>
          <a:spLocks noChangeAspect="1" noChangeArrowheads="1"/>
        </xdr:cNvSpPr>
      </xdr:nvSpPr>
      <xdr:spPr bwMode="auto">
        <a:xfrm>
          <a:off x="7648575" y="479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37</xdr:row>
      <xdr:rowOff>0</xdr:rowOff>
    </xdr:from>
    <xdr:to>
      <xdr:col>10</xdr:col>
      <xdr:colOff>304800</xdr:colOff>
      <xdr:row>38</xdr:row>
      <xdr:rowOff>114300</xdr:rowOff>
    </xdr:to>
    <xdr:sp macro="" textlink="">
      <xdr:nvSpPr>
        <xdr:cNvPr id="6154" name="AutoShape 10">
          <a:extLst>
            <a:ext uri="{FF2B5EF4-FFF2-40B4-BE49-F238E27FC236}">
              <a16:creationId xmlns:a16="http://schemas.microsoft.com/office/drawing/2014/main" id="{DEF01FC5-E2DA-4E3E-918F-2767916C18EA}"/>
            </a:ext>
          </a:extLst>
        </xdr:cNvPr>
        <xdr:cNvSpPr>
          <a:spLocks noChangeAspect="1" noChangeArrowheads="1"/>
        </xdr:cNvSpPr>
      </xdr:nvSpPr>
      <xdr:spPr bwMode="auto">
        <a:xfrm>
          <a:off x="7648575" y="638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39</xdr:row>
      <xdr:rowOff>0</xdr:rowOff>
    </xdr:from>
    <xdr:to>
      <xdr:col>10</xdr:col>
      <xdr:colOff>304800</xdr:colOff>
      <xdr:row>40</xdr:row>
      <xdr:rowOff>114300</xdr:rowOff>
    </xdr:to>
    <xdr:sp macro="" textlink="">
      <xdr:nvSpPr>
        <xdr:cNvPr id="6155" name="AutoShape 11">
          <a:extLst>
            <a:ext uri="{FF2B5EF4-FFF2-40B4-BE49-F238E27FC236}">
              <a16:creationId xmlns:a16="http://schemas.microsoft.com/office/drawing/2014/main" id="{771850FB-D6F6-4C73-B5FE-834F0665EA3C}"/>
            </a:ext>
          </a:extLst>
        </xdr:cNvPr>
        <xdr:cNvSpPr>
          <a:spLocks noChangeAspect="1" noChangeArrowheads="1"/>
        </xdr:cNvSpPr>
      </xdr:nvSpPr>
      <xdr:spPr bwMode="auto">
        <a:xfrm>
          <a:off x="7648575" y="677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42</xdr:row>
      <xdr:rowOff>0</xdr:rowOff>
    </xdr:from>
    <xdr:to>
      <xdr:col>10</xdr:col>
      <xdr:colOff>304800</xdr:colOff>
      <xdr:row>43</xdr:row>
      <xdr:rowOff>114300</xdr:rowOff>
    </xdr:to>
    <xdr:sp macro="" textlink="">
      <xdr:nvSpPr>
        <xdr:cNvPr id="6156" name="AutoShape 12">
          <a:extLst>
            <a:ext uri="{FF2B5EF4-FFF2-40B4-BE49-F238E27FC236}">
              <a16:creationId xmlns:a16="http://schemas.microsoft.com/office/drawing/2014/main" id="{37E2F10F-8158-43F0-A61A-53B98BF89210}"/>
            </a:ext>
          </a:extLst>
        </xdr:cNvPr>
        <xdr:cNvSpPr>
          <a:spLocks noChangeAspect="1" noChangeArrowheads="1"/>
        </xdr:cNvSpPr>
      </xdr:nvSpPr>
      <xdr:spPr bwMode="auto">
        <a:xfrm>
          <a:off x="7648575" y="736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10</xdr:col>
      <xdr:colOff>0</xdr:colOff>
      <xdr:row>38</xdr:row>
      <xdr:rowOff>0</xdr:rowOff>
    </xdr:from>
    <xdr:ext cx="304800" cy="304800"/>
    <xdr:sp macro="" textlink="">
      <xdr:nvSpPr>
        <xdr:cNvPr id="15" name="AutoShape 10">
          <a:extLst>
            <a:ext uri="{FF2B5EF4-FFF2-40B4-BE49-F238E27FC236}">
              <a16:creationId xmlns:a16="http://schemas.microsoft.com/office/drawing/2014/main" id="{459466A2-F531-4989-856A-D1DA0C7314F6}"/>
            </a:ext>
          </a:extLst>
        </xdr:cNvPr>
        <xdr:cNvSpPr>
          <a:spLocks noChangeAspect="1" noChangeArrowheads="1"/>
        </xdr:cNvSpPr>
      </xdr:nvSpPr>
      <xdr:spPr bwMode="auto">
        <a:xfrm>
          <a:off x="7686675" y="64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39</xdr:row>
      <xdr:rowOff>0</xdr:rowOff>
    </xdr:from>
    <xdr:ext cx="304800" cy="304800"/>
    <xdr:sp macro="" textlink="">
      <xdr:nvSpPr>
        <xdr:cNvPr id="16" name="AutoShape 10">
          <a:extLst>
            <a:ext uri="{FF2B5EF4-FFF2-40B4-BE49-F238E27FC236}">
              <a16:creationId xmlns:a16="http://schemas.microsoft.com/office/drawing/2014/main" id="{8B011A30-23BC-4CEA-8E37-FAF3B08F4E31}"/>
            </a:ext>
          </a:extLst>
        </xdr:cNvPr>
        <xdr:cNvSpPr>
          <a:spLocks noChangeAspect="1" noChangeArrowheads="1"/>
        </xdr:cNvSpPr>
      </xdr:nvSpPr>
      <xdr:spPr bwMode="auto">
        <a:xfrm>
          <a:off x="7686675" y="64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40</xdr:row>
      <xdr:rowOff>0</xdr:rowOff>
    </xdr:from>
    <xdr:ext cx="304800" cy="304800"/>
    <xdr:sp macro="" textlink="">
      <xdr:nvSpPr>
        <xdr:cNvPr id="17" name="AutoShape 10">
          <a:extLst>
            <a:ext uri="{FF2B5EF4-FFF2-40B4-BE49-F238E27FC236}">
              <a16:creationId xmlns:a16="http://schemas.microsoft.com/office/drawing/2014/main" id="{C93754BF-7779-42BC-8379-76F7263CA3CD}"/>
            </a:ext>
          </a:extLst>
        </xdr:cNvPr>
        <xdr:cNvSpPr>
          <a:spLocks noChangeAspect="1" noChangeArrowheads="1"/>
        </xdr:cNvSpPr>
      </xdr:nvSpPr>
      <xdr:spPr bwMode="auto">
        <a:xfrm>
          <a:off x="7686675" y="64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41</xdr:row>
      <xdr:rowOff>0</xdr:rowOff>
    </xdr:from>
    <xdr:ext cx="304800" cy="304800"/>
    <xdr:sp macro="" textlink="">
      <xdr:nvSpPr>
        <xdr:cNvPr id="18" name="AutoShape 10">
          <a:extLst>
            <a:ext uri="{FF2B5EF4-FFF2-40B4-BE49-F238E27FC236}">
              <a16:creationId xmlns:a16="http://schemas.microsoft.com/office/drawing/2014/main" id="{D69DC2E8-75FB-409E-8F93-246EFB00019C}"/>
            </a:ext>
          </a:extLst>
        </xdr:cNvPr>
        <xdr:cNvSpPr>
          <a:spLocks noChangeAspect="1" noChangeArrowheads="1"/>
        </xdr:cNvSpPr>
      </xdr:nvSpPr>
      <xdr:spPr bwMode="auto">
        <a:xfrm>
          <a:off x="7686675" y="64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42</xdr:row>
      <xdr:rowOff>0</xdr:rowOff>
    </xdr:from>
    <xdr:ext cx="304800" cy="304800"/>
    <xdr:sp macro="" textlink="">
      <xdr:nvSpPr>
        <xdr:cNvPr id="19" name="AutoShape 10">
          <a:extLst>
            <a:ext uri="{FF2B5EF4-FFF2-40B4-BE49-F238E27FC236}">
              <a16:creationId xmlns:a16="http://schemas.microsoft.com/office/drawing/2014/main" id="{1E8DAE0F-B1C9-4A33-848B-E6C24B08CC76}"/>
            </a:ext>
          </a:extLst>
        </xdr:cNvPr>
        <xdr:cNvSpPr>
          <a:spLocks noChangeAspect="1" noChangeArrowheads="1"/>
        </xdr:cNvSpPr>
      </xdr:nvSpPr>
      <xdr:spPr bwMode="auto">
        <a:xfrm>
          <a:off x="7686675" y="64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43</xdr:row>
      <xdr:rowOff>0</xdr:rowOff>
    </xdr:from>
    <xdr:ext cx="304800" cy="304800"/>
    <xdr:sp macro="" textlink="">
      <xdr:nvSpPr>
        <xdr:cNvPr id="20" name="AutoShape 10">
          <a:extLst>
            <a:ext uri="{FF2B5EF4-FFF2-40B4-BE49-F238E27FC236}">
              <a16:creationId xmlns:a16="http://schemas.microsoft.com/office/drawing/2014/main" id="{23B19381-4EDE-42D4-A149-AEEA3D78136A}"/>
            </a:ext>
          </a:extLst>
        </xdr:cNvPr>
        <xdr:cNvSpPr>
          <a:spLocks noChangeAspect="1" noChangeArrowheads="1"/>
        </xdr:cNvSpPr>
      </xdr:nvSpPr>
      <xdr:spPr bwMode="auto">
        <a:xfrm>
          <a:off x="7686675" y="64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44</xdr:row>
      <xdr:rowOff>0</xdr:rowOff>
    </xdr:from>
    <xdr:ext cx="304800" cy="304800"/>
    <xdr:sp macro="" textlink="">
      <xdr:nvSpPr>
        <xdr:cNvPr id="21" name="AutoShape 10">
          <a:extLst>
            <a:ext uri="{FF2B5EF4-FFF2-40B4-BE49-F238E27FC236}">
              <a16:creationId xmlns:a16="http://schemas.microsoft.com/office/drawing/2014/main" id="{287B23DA-76C2-414F-838D-891295CDFC68}"/>
            </a:ext>
          </a:extLst>
        </xdr:cNvPr>
        <xdr:cNvSpPr>
          <a:spLocks noChangeAspect="1" noChangeArrowheads="1"/>
        </xdr:cNvSpPr>
      </xdr:nvSpPr>
      <xdr:spPr bwMode="auto">
        <a:xfrm>
          <a:off x="7686675" y="64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45</xdr:row>
      <xdr:rowOff>0</xdr:rowOff>
    </xdr:from>
    <xdr:ext cx="304800" cy="304800"/>
    <xdr:sp macro="" textlink="">
      <xdr:nvSpPr>
        <xdr:cNvPr id="22" name="AutoShape 10">
          <a:extLst>
            <a:ext uri="{FF2B5EF4-FFF2-40B4-BE49-F238E27FC236}">
              <a16:creationId xmlns:a16="http://schemas.microsoft.com/office/drawing/2014/main" id="{C7809EED-88C0-41B7-A319-C21A99EABA97}"/>
            </a:ext>
          </a:extLst>
        </xdr:cNvPr>
        <xdr:cNvSpPr>
          <a:spLocks noChangeAspect="1" noChangeArrowheads="1"/>
        </xdr:cNvSpPr>
      </xdr:nvSpPr>
      <xdr:spPr bwMode="auto">
        <a:xfrm>
          <a:off x="7686675" y="64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45</xdr:row>
      <xdr:rowOff>0</xdr:rowOff>
    </xdr:from>
    <xdr:ext cx="304800" cy="304800"/>
    <xdr:sp macro="" textlink="">
      <xdr:nvSpPr>
        <xdr:cNvPr id="23" name="AutoShape 10">
          <a:extLst>
            <a:ext uri="{FF2B5EF4-FFF2-40B4-BE49-F238E27FC236}">
              <a16:creationId xmlns:a16="http://schemas.microsoft.com/office/drawing/2014/main" id="{281F91BF-4F2C-4813-9340-F534AA9F6AF7}"/>
            </a:ext>
          </a:extLst>
        </xdr:cNvPr>
        <xdr:cNvSpPr>
          <a:spLocks noChangeAspect="1" noChangeArrowheads="1"/>
        </xdr:cNvSpPr>
      </xdr:nvSpPr>
      <xdr:spPr bwMode="auto">
        <a:xfrm>
          <a:off x="7686675" y="774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46</xdr:row>
      <xdr:rowOff>0</xdr:rowOff>
    </xdr:from>
    <xdr:ext cx="304800" cy="304800"/>
    <xdr:sp macro="" textlink="">
      <xdr:nvSpPr>
        <xdr:cNvPr id="24" name="AutoShape 10">
          <a:extLst>
            <a:ext uri="{FF2B5EF4-FFF2-40B4-BE49-F238E27FC236}">
              <a16:creationId xmlns:a16="http://schemas.microsoft.com/office/drawing/2014/main" id="{71244B55-14E7-46B6-925B-439080D7F87A}"/>
            </a:ext>
          </a:extLst>
        </xdr:cNvPr>
        <xdr:cNvSpPr>
          <a:spLocks noChangeAspect="1" noChangeArrowheads="1"/>
        </xdr:cNvSpPr>
      </xdr:nvSpPr>
      <xdr:spPr bwMode="auto">
        <a:xfrm>
          <a:off x="7686675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46</xdr:row>
      <xdr:rowOff>0</xdr:rowOff>
    </xdr:from>
    <xdr:ext cx="304800" cy="304800"/>
    <xdr:sp macro="" textlink="">
      <xdr:nvSpPr>
        <xdr:cNvPr id="25" name="AutoShape 10">
          <a:extLst>
            <a:ext uri="{FF2B5EF4-FFF2-40B4-BE49-F238E27FC236}">
              <a16:creationId xmlns:a16="http://schemas.microsoft.com/office/drawing/2014/main" id="{8BF9316A-4E86-4A3E-8B81-862139E6CA00}"/>
            </a:ext>
          </a:extLst>
        </xdr:cNvPr>
        <xdr:cNvSpPr>
          <a:spLocks noChangeAspect="1" noChangeArrowheads="1"/>
        </xdr:cNvSpPr>
      </xdr:nvSpPr>
      <xdr:spPr bwMode="auto">
        <a:xfrm>
          <a:off x="7686675" y="774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47</xdr:row>
      <xdr:rowOff>0</xdr:rowOff>
    </xdr:from>
    <xdr:ext cx="304800" cy="304800"/>
    <xdr:sp macro="" textlink="">
      <xdr:nvSpPr>
        <xdr:cNvPr id="26" name="AutoShape 10">
          <a:extLst>
            <a:ext uri="{FF2B5EF4-FFF2-40B4-BE49-F238E27FC236}">
              <a16:creationId xmlns:a16="http://schemas.microsoft.com/office/drawing/2014/main" id="{39E3AE1C-7913-4F37-8F83-EB9818607EED}"/>
            </a:ext>
          </a:extLst>
        </xdr:cNvPr>
        <xdr:cNvSpPr>
          <a:spLocks noChangeAspect="1" noChangeArrowheads="1"/>
        </xdr:cNvSpPr>
      </xdr:nvSpPr>
      <xdr:spPr bwMode="auto">
        <a:xfrm>
          <a:off x="7686675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47</xdr:row>
      <xdr:rowOff>0</xdr:rowOff>
    </xdr:from>
    <xdr:ext cx="304800" cy="304800"/>
    <xdr:sp macro="" textlink="">
      <xdr:nvSpPr>
        <xdr:cNvPr id="27" name="AutoShape 10">
          <a:extLst>
            <a:ext uri="{FF2B5EF4-FFF2-40B4-BE49-F238E27FC236}">
              <a16:creationId xmlns:a16="http://schemas.microsoft.com/office/drawing/2014/main" id="{E1BB3E61-7AB3-449D-9444-BD5746A83187}"/>
            </a:ext>
          </a:extLst>
        </xdr:cNvPr>
        <xdr:cNvSpPr>
          <a:spLocks noChangeAspect="1" noChangeArrowheads="1"/>
        </xdr:cNvSpPr>
      </xdr:nvSpPr>
      <xdr:spPr bwMode="auto">
        <a:xfrm>
          <a:off x="7686675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3</xdr:col>
      <xdr:colOff>0</xdr:colOff>
      <xdr:row>32</xdr:row>
      <xdr:rowOff>133350</xdr:rowOff>
    </xdr:from>
    <xdr:to>
      <xdr:col>6</xdr:col>
      <xdr:colOff>314325</xdr:colOff>
      <xdr:row>34</xdr:row>
      <xdr:rowOff>133350</xdr:rowOff>
    </xdr:to>
    <xdr:sp macro="[0]!run_playoffs" textlink="">
      <xdr:nvSpPr>
        <xdr:cNvPr id="4" name="Arrow: Right 3">
          <a:extLst>
            <a:ext uri="{FF2B5EF4-FFF2-40B4-BE49-F238E27FC236}">
              <a16:creationId xmlns:a16="http://schemas.microsoft.com/office/drawing/2014/main" id="{D4470A94-35B7-4048-B0B2-11DA095ECBEC}"/>
            </a:ext>
          </a:extLst>
        </xdr:cNvPr>
        <xdr:cNvSpPr/>
      </xdr:nvSpPr>
      <xdr:spPr>
        <a:xfrm>
          <a:off x="3905250" y="6334125"/>
          <a:ext cx="1800225" cy="3810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 Hilts" refreshedDate="44519.416828472225" createdVersion="7" refreshedVersion="7" minRefreshableVersion="3" recordCount="100" xr:uid="{20EDE3E5-DB64-4328-AD40-8579276D535D}">
  <cacheSource type="worksheet">
    <worksheetSource ref="Q55:R155" sheet="Standings"/>
  </cacheSource>
  <cacheFields count="2">
    <cacheField name="Makes" numFmtId="0">
      <sharedItems count="5">
        <s v="7-7-0"/>
        <s v="7-6-1"/>
        <s v="8-6-0"/>
        <s v="6-7-1"/>
        <s v="8-5-1"/>
      </sharedItems>
    </cacheField>
    <cacheField name="Misses" numFmtId="0">
      <sharedItems count="5">
        <s v="7-7-0"/>
        <s v="7-6-1"/>
        <s v="6-7-1"/>
        <s v="8-6-0"/>
        <s v="6-8-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x v="0"/>
  </r>
  <r>
    <x v="1"/>
    <x v="0"/>
  </r>
  <r>
    <x v="2"/>
    <x v="1"/>
  </r>
  <r>
    <x v="1"/>
    <x v="0"/>
  </r>
  <r>
    <x v="3"/>
    <x v="2"/>
  </r>
  <r>
    <x v="1"/>
    <x v="0"/>
  </r>
  <r>
    <x v="2"/>
    <x v="1"/>
  </r>
  <r>
    <x v="1"/>
    <x v="0"/>
  </r>
  <r>
    <x v="0"/>
    <x v="2"/>
  </r>
  <r>
    <x v="1"/>
    <x v="0"/>
  </r>
  <r>
    <x v="1"/>
    <x v="1"/>
  </r>
  <r>
    <x v="2"/>
    <x v="1"/>
  </r>
  <r>
    <x v="1"/>
    <x v="0"/>
  </r>
  <r>
    <x v="1"/>
    <x v="0"/>
  </r>
  <r>
    <x v="1"/>
    <x v="1"/>
  </r>
  <r>
    <x v="0"/>
    <x v="0"/>
  </r>
  <r>
    <x v="2"/>
    <x v="1"/>
  </r>
  <r>
    <x v="2"/>
    <x v="3"/>
  </r>
  <r>
    <x v="1"/>
    <x v="0"/>
  </r>
  <r>
    <x v="1"/>
    <x v="0"/>
  </r>
  <r>
    <x v="1"/>
    <x v="2"/>
  </r>
  <r>
    <x v="1"/>
    <x v="1"/>
  </r>
  <r>
    <x v="1"/>
    <x v="0"/>
  </r>
  <r>
    <x v="1"/>
    <x v="2"/>
  </r>
  <r>
    <x v="0"/>
    <x v="0"/>
  </r>
  <r>
    <x v="2"/>
    <x v="0"/>
  </r>
  <r>
    <x v="1"/>
    <x v="1"/>
  </r>
  <r>
    <x v="3"/>
    <x v="2"/>
  </r>
  <r>
    <x v="1"/>
    <x v="1"/>
  </r>
  <r>
    <x v="1"/>
    <x v="2"/>
  </r>
  <r>
    <x v="0"/>
    <x v="2"/>
  </r>
  <r>
    <x v="0"/>
    <x v="2"/>
  </r>
  <r>
    <x v="1"/>
    <x v="1"/>
  </r>
  <r>
    <x v="1"/>
    <x v="0"/>
  </r>
  <r>
    <x v="1"/>
    <x v="0"/>
  </r>
  <r>
    <x v="1"/>
    <x v="0"/>
  </r>
  <r>
    <x v="0"/>
    <x v="2"/>
  </r>
  <r>
    <x v="1"/>
    <x v="1"/>
  </r>
  <r>
    <x v="2"/>
    <x v="1"/>
  </r>
  <r>
    <x v="1"/>
    <x v="0"/>
  </r>
  <r>
    <x v="1"/>
    <x v="2"/>
  </r>
  <r>
    <x v="2"/>
    <x v="1"/>
  </r>
  <r>
    <x v="1"/>
    <x v="1"/>
  </r>
  <r>
    <x v="0"/>
    <x v="2"/>
  </r>
  <r>
    <x v="1"/>
    <x v="0"/>
  </r>
  <r>
    <x v="1"/>
    <x v="0"/>
  </r>
  <r>
    <x v="2"/>
    <x v="0"/>
  </r>
  <r>
    <x v="1"/>
    <x v="0"/>
  </r>
  <r>
    <x v="0"/>
    <x v="2"/>
  </r>
  <r>
    <x v="0"/>
    <x v="2"/>
  </r>
  <r>
    <x v="0"/>
    <x v="2"/>
  </r>
  <r>
    <x v="0"/>
    <x v="0"/>
  </r>
  <r>
    <x v="1"/>
    <x v="0"/>
  </r>
  <r>
    <x v="3"/>
    <x v="2"/>
  </r>
  <r>
    <x v="1"/>
    <x v="2"/>
  </r>
  <r>
    <x v="1"/>
    <x v="1"/>
  </r>
  <r>
    <x v="1"/>
    <x v="2"/>
  </r>
  <r>
    <x v="1"/>
    <x v="1"/>
  </r>
  <r>
    <x v="0"/>
    <x v="0"/>
  </r>
  <r>
    <x v="1"/>
    <x v="1"/>
  </r>
  <r>
    <x v="1"/>
    <x v="1"/>
  </r>
  <r>
    <x v="1"/>
    <x v="1"/>
  </r>
  <r>
    <x v="2"/>
    <x v="1"/>
  </r>
  <r>
    <x v="0"/>
    <x v="0"/>
  </r>
  <r>
    <x v="1"/>
    <x v="1"/>
  </r>
  <r>
    <x v="2"/>
    <x v="2"/>
  </r>
  <r>
    <x v="1"/>
    <x v="0"/>
  </r>
  <r>
    <x v="1"/>
    <x v="0"/>
  </r>
  <r>
    <x v="1"/>
    <x v="0"/>
  </r>
  <r>
    <x v="1"/>
    <x v="1"/>
  </r>
  <r>
    <x v="1"/>
    <x v="4"/>
  </r>
  <r>
    <x v="2"/>
    <x v="3"/>
  </r>
  <r>
    <x v="1"/>
    <x v="0"/>
  </r>
  <r>
    <x v="4"/>
    <x v="0"/>
  </r>
  <r>
    <x v="1"/>
    <x v="0"/>
  </r>
  <r>
    <x v="2"/>
    <x v="1"/>
  </r>
  <r>
    <x v="1"/>
    <x v="1"/>
  </r>
  <r>
    <x v="2"/>
    <x v="2"/>
  </r>
  <r>
    <x v="2"/>
    <x v="2"/>
  </r>
  <r>
    <x v="1"/>
    <x v="1"/>
  </r>
  <r>
    <x v="2"/>
    <x v="1"/>
  </r>
  <r>
    <x v="1"/>
    <x v="0"/>
  </r>
  <r>
    <x v="3"/>
    <x v="2"/>
  </r>
  <r>
    <x v="1"/>
    <x v="0"/>
  </r>
  <r>
    <x v="2"/>
    <x v="3"/>
  </r>
  <r>
    <x v="1"/>
    <x v="0"/>
  </r>
  <r>
    <x v="2"/>
    <x v="3"/>
  </r>
  <r>
    <x v="0"/>
    <x v="2"/>
  </r>
  <r>
    <x v="0"/>
    <x v="0"/>
  </r>
  <r>
    <x v="1"/>
    <x v="1"/>
  </r>
  <r>
    <x v="1"/>
    <x v="1"/>
  </r>
  <r>
    <x v="2"/>
    <x v="1"/>
  </r>
  <r>
    <x v="1"/>
    <x v="0"/>
  </r>
  <r>
    <x v="1"/>
    <x v="2"/>
  </r>
  <r>
    <x v="0"/>
    <x v="2"/>
  </r>
  <r>
    <x v="1"/>
    <x v="2"/>
  </r>
  <r>
    <x v="4"/>
    <x v="1"/>
  </r>
  <r>
    <x v="2"/>
    <x v="0"/>
  </r>
  <r>
    <x v="1"/>
    <x v="0"/>
  </r>
  <r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875E3B-D533-4D42-8B5E-BAFB22F79E95}" name="PivotTable2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3:N69" firstHeaderRow="1" firstDataRow="1" firstDataCol="1"/>
  <pivotFields count="2">
    <pivotField showAll="0">
      <items count="6">
        <item x="3"/>
        <item x="1"/>
        <item x="0"/>
        <item x="4"/>
        <item x="2"/>
        <item t="default"/>
      </items>
    </pivotField>
    <pivotField axis="axisRow" dataField="1" showAll="0">
      <items count="6">
        <item x="2"/>
        <item x="4"/>
        <item x="1"/>
        <item x="0"/>
        <item x="3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Misse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94A63-8A17-40FE-8A8A-3E3CCC651231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55:N61" firstHeaderRow="1" firstDataRow="1" firstDataCol="1"/>
  <pivotFields count="2">
    <pivotField axis="axisRow" dataField="1" showAll="0">
      <items count="6">
        <item x="3"/>
        <item x="1"/>
        <item x="0"/>
        <item x="4"/>
        <item x="2"/>
        <item t="default"/>
      </items>
    </pivotField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Mak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91A88-668A-4FB2-945E-D55C6C177B78}">
  <sheetPr codeName="Sheet1"/>
  <dimension ref="A2:CY155"/>
  <sheetViews>
    <sheetView tabSelected="1" topLeftCell="E1" workbookViewId="0">
      <selection activeCell="M17" sqref="M17"/>
    </sheetView>
  </sheetViews>
  <sheetFormatPr defaultRowHeight="15" x14ac:dyDescent="0.25"/>
  <cols>
    <col min="1" max="1" width="8.140625" bestFit="1" customWidth="1"/>
    <col min="2" max="2" width="21.85546875" bestFit="1" customWidth="1"/>
    <col min="3" max="3" width="22.28515625" customWidth="1"/>
    <col min="4" max="4" width="5.42578125" bestFit="1" customWidth="1"/>
    <col min="5" max="5" width="18.28515625" style="7" bestFit="1" customWidth="1"/>
    <col min="6" max="6" width="18.7109375" style="7" bestFit="1" customWidth="1"/>
    <col min="7" max="9" width="8.42578125" customWidth="1"/>
    <col min="13" max="13" width="13.140625" bestFit="1" customWidth="1"/>
    <col min="14" max="14" width="15.28515625" bestFit="1" customWidth="1"/>
  </cols>
  <sheetData>
    <row r="2" spans="1:34" x14ac:dyDescent="0.25">
      <c r="V2">
        <v>16</v>
      </c>
      <c r="W2">
        <v>17</v>
      </c>
      <c r="X2">
        <v>18</v>
      </c>
      <c r="Y2">
        <v>19</v>
      </c>
    </row>
    <row r="3" spans="1:34" x14ac:dyDescent="0.25">
      <c r="N3" t="s">
        <v>71</v>
      </c>
      <c r="R3" t="s">
        <v>72</v>
      </c>
      <c r="V3" t="s">
        <v>73</v>
      </c>
      <c r="Z3" t="s">
        <v>74</v>
      </c>
    </row>
    <row r="4" spans="1:34" x14ac:dyDescent="0.25">
      <c r="A4" s="8" t="s">
        <v>60</v>
      </c>
      <c r="B4" s="8" t="s">
        <v>61</v>
      </c>
      <c r="C4" s="8" t="s">
        <v>37</v>
      </c>
      <c r="D4" s="8" t="s">
        <v>45</v>
      </c>
      <c r="E4" s="10" t="s">
        <v>46</v>
      </c>
      <c r="F4" s="10" t="s">
        <v>47</v>
      </c>
      <c r="G4" s="8" t="s">
        <v>48</v>
      </c>
      <c r="H4" s="8" t="s">
        <v>43</v>
      </c>
      <c r="I4" s="8" t="s">
        <v>49</v>
      </c>
      <c r="J4" s="9" t="s">
        <v>50</v>
      </c>
      <c r="K4" s="9" t="s">
        <v>51</v>
      </c>
      <c r="L4" s="9" t="s">
        <v>52</v>
      </c>
      <c r="M4" s="9" t="s">
        <v>53</v>
      </c>
      <c r="N4" s="8">
        <v>11</v>
      </c>
      <c r="O4" s="8">
        <v>12</v>
      </c>
      <c r="P4" s="8">
        <v>13</v>
      </c>
      <c r="Q4" s="8">
        <v>14</v>
      </c>
      <c r="R4" s="10">
        <v>11</v>
      </c>
      <c r="S4" s="10">
        <v>12</v>
      </c>
      <c r="T4" s="10">
        <v>13</v>
      </c>
      <c r="U4" s="10">
        <v>14</v>
      </c>
      <c r="V4" s="10">
        <v>11</v>
      </c>
      <c r="W4" s="10">
        <v>12</v>
      </c>
      <c r="X4" s="10">
        <v>13</v>
      </c>
      <c r="Y4" s="10">
        <v>14</v>
      </c>
      <c r="Z4" s="10">
        <v>11</v>
      </c>
      <c r="AA4" s="10">
        <v>12</v>
      </c>
      <c r="AB4" s="10">
        <v>13</v>
      </c>
      <c r="AC4" s="10">
        <v>14</v>
      </c>
      <c r="AD4" s="10" t="s">
        <v>75</v>
      </c>
      <c r="AE4" s="10" t="s">
        <v>76</v>
      </c>
      <c r="AF4" s="13"/>
      <c r="AG4" s="13" t="s">
        <v>79</v>
      </c>
      <c r="AH4" s="13" t="s">
        <v>45</v>
      </c>
    </row>
    <row r="5" spans="1:34" ht="15.75" thickBot="1" x14ac:dyDescent="0.3">
      <c r="A5">
        <v>1</v>
      </c>
      <c r="B5" t="s">
        <v>19</v>
      </c>
      <c r="C5" t="s">
        <v>7</v>
      </c>
      <c r="D5">
        <v>9</v>
      </c>
      <c r="E5" s="7">
        <v>1</v>
      </c>
      <c r="F5" s="7">
        <v>0</v>
      </c>
      <c r="G5">
        <v>0.9</v>
      </c>
      <c r="H5" t="s">
        <v>44</v>
      </c>
      <c r="I5">
        <v>100</v>
      </c>
      <c r="J5" s="3">
        <v>1303</v>
      </c>
      <c r="K5" s="3">
        <v>994</v>
      </c>
      <c r="L5" s="3" t="s">
        <v>54</v>
      </c>
      <c r="M5" s="3">
        <v>25</v>
      </c>
      <c r="N5" s="11" t="str">
        <f>VLOOKUP($C5&amp;N$4,Schedule!$F$3:$J$170,5,FALSE)</f>
        <v>William Schager</v>
      </c>
      <c r="O5" s="11" t="str">
        <f>VLOOKUP($C5&amp;O$4,Schedule!$F$3:$J$170,5,FALSE)</f>
        <v>Karl Richardson</v>
      </c>
      <c r="P5" s="11" t="str">
        <f>VLOOKUP($C5&amp;P$4,Schedule!$F$3:$J$170,5,FALSE)</f>
        <v>Greg Smith</v>
      </c>
      <c r="Q5" s="11" t="str">
        <f>VLOOKUP($C5&amp;Q$4,Schedule!$F$3:$J$170,5,FALSE)</f>
        <v>Jesse Hershman, Rafael Dionello</v>
      </c>
      <c r="R5" s="6">
        <f t="shared" ref="R5:U16" ca="1" si="0">_xlfn.NORM.INV(RAND(),$U21,$W21)</f>
        <v>149.65568458959248</v>
      </c>
      <c r="S5" s="6">
        <f t="shared" ref="S5:U5" ca="1" si="1">_xlfn.NORM.INV(RAND(),$U21,$W21)</f>
        <v>114.89987510342202</v>
      </c>
      <c r="T5" s="6">
        <f t="shared" ca="1" si="1"/>
        <v>151.28117110640935</v>
      </c>
      <c r="U5" s="6">
        <f t="shared" ca="1" si="1"/>
        <v>139.76301684794211</v>
      </c>
      <c r="V5" s="6">
        <f t="shared" ref="V5:V16" ca="1" si="2">VLOOKUP(N5,$C$5:$U$16,V$2,FALSE)</f>
        <v>64.461872761140086</v>
      </c>
      <c r="W5" s="6">
        <f t="shared" ref="W5:W16" ca="1" si="3">VLOOKUP(O5,$C$5:$U$16,W$2,FALSE)</f>
        <v>115.89987510342202</v>
      </c>
      <c r="X5" s="6">
        <f t="shared" ref="X5:X16" ca="1" si="4">VLOOKUP(P5,$C$5:$U$16,X$2,FALSE)</f>
        <v>97.990652171729266</v>
      </c>
      <c r="Y5" s="6">
        <f t="shared" ref="Y5:Y16" ca="1" si="5">VLOOKUP(Q5,$C$5:$U$16,Y$2,FALSE)</f>
        <v>101.96016024542941</v>
      </c>
      <c r="Z5" s="6">
        <f ca="1">IF(R5&gt;V5,1,0)</f>
        <v>1</v>
      </c>
      <c r="AA5" s="6">
        <f t="shared" ref="AA5:AA16" ca="1" si="6">IF(S5&gt;W5,1,0)</f>
        <v>0</v>
      </c>
      <c r="AB5" s="6">
        <f t="shared" ref="AB5:AB16" ca="1" si="7">IF(T5&gt;X5,1,0)</f>
        <v>1</v>
      </c>
      <c r="AC5" s="6">
        <f t="shared" ref="AC5:AC16" ca="1" si="8">IF(U5&gt;Y5,1,0)</f>
        <v>1</v>
      </c>
      <c r="AD5" s="12">
        <f ca="1">SUM(Z5:AC5,D5)/(14-F5)</f>
        <v>0.8571428571428571</v>
      </c>
      <c r="AE5" s="5">
        <f ca="1">SUM(R5:U5,J5)</f>
        <v>1858.599747647366</v>
      </c>
      <c r="AF5" s="14">
        <f ca="1">AD5+AE5/10000000</f>
        <v>0.85732871711762182</v>
      </c>
      <c r="AG5">
        <f ca="1">RANK(AF5,$AF$5:$AF$16)</f>
        <v>1</v>
      </c>
      <c r="AH5" s="5" t="str">
        <f ca="1">D5+SUM(Z5:AC5)&amp;"-"&amp;E5+4-SUM(Z5:AC5)&amp;"-"&amp;F5</f>
        <v>12-2-0</v>
      </c>
    </row>
    <row r="6" spans="1:34" ht="15.75" thickBot="1" x14ac:dyDescent="0.3">
      <c r="A6">
        <v>2</v>
      </c>
      <c r="B6" t="s">
        <v>12</v>
      </c>
      <c r="C6" t="s">
        <v>0</v>
      </c>
      <c r="D6">
        <v>6</v>
      </c>
      <c r="E6" s="7">
        <v>4</v>
      </c>
      <c r="F6" s="7">
        <v>0</v>
      </c>
      <c r="G6">
        <v>0.6</v>
      </c>
      <c r="H6">
        <v>3</v>
      </c>
      <c r="I6">
        <v>98</v>
      </c>
      <c r="J6" s="2">
        <v>1161</v>
      </c>
      <c r="K6" s="2">
        <v>1041</v>
      </c>
      <c r="L6" s="2" t="s">
        <v>55</v>
      </c>
      <c r="M6" s="2">
        <v>55</v>
      </c>
      <c r="N6" s="11" t="str">
        <f>VLOOKUP($C6&amp;N$4,Schedule!$F$3:$J$170,5,FALSE)</f>
        <v>Andrew Joynt</v>
      </c>
      <c r="O6" s="11" t="str">
        <f>VLOOKUP($C6&amp;O$4,Schedule!$F$3:$J$170,5,FALSE)</f>
        <v>Robert Hilton</v>
      </c>
      <c r="P6" s="11" t="str">
        <f>VLOOKUP($C6&amp;P$4,Schedule!$F$3:$J$170,5,FALSE)</f>
        <v>William Schager</v>
      </c>
      <c r="Q6" s="11" t="str">
        <f>VLOOKUP($C6&amp;Q$4,Schedule!$F$3:$J$170,5,FALSE)</f>
        <v>Paulo Silva</v>
      </c>
      <c r="R6" s="6">
        <f t="shared" ca="1" si="0"/>
        <v>106.08276685900678</v>
      </c>
      <c r="S6" s="6">
        <f t="shared" ca="1" si="0"/>
        <v>119.19516942223802</v>
      </c>
      <c r="T6" s="6">
        <f t="shared" ca="1" si="0"/>
        <v>154.83750373445739</v>
      </c>
      <c r="U6" s="6">
        <f t="shared" ca="1" si="0"/>
        <v>158.1601139398947</v>
      </c>
      <c r="V6" s="6">
        <f t="shared" ca="1" si="2"/>
        <v>79.651582779697577</v>
      </c>
      <c r="W6" s="6">
        <f t="shared" ca="1" si="3"/>
        <v>132.10127448223008</v>
      </c>
      <c r="X6" s="6">
        <f t="shared" ca="1" si="4"/>
        <v>113.65710595766005</v>
      </c>
      <c r="Y6" s="6">
        <f t="shared" ca="1" si="5"/>
        <v>54.598417419736933</v>
      </c>
      <c r="Z6" s="6">
        <f t="shared" ref="Z6:Z16" ca="1" si="9">IF(R6&gt;V6,1,0)</f>
        <v>1</v>
      </c>
      <c r="AA6" s="6">
        <f t="shared" ca="1" si="6"/>
        <v>0</v>
      </c>
      <c r="AB6" s="6">
        <f t="shared" ca="1" si="7"/>
        <v>1</v>
      </c>
      <c r="AC6" s="6">
        <f t="shared" ca="1" si="8"/>
        <v>1</v>
      </c>
      <c r="AD6" s="12">
        <f t="shared" ref="AD6:AD16" ca="1" si="10">SUM(Z6:AC6,D6)/(14-F6)</f>
        <v>0.6428571428571429</v>
      </c>
      <c r="AE6" s="5">
        <f t="shared" ref="AE6:AE16" ca="1" si="11">SUM(R6:U6,J6)</f>
        <v>1699.2755539555969</v>
      </c>
      <c r="AF6" s="14">
        <f t="shared" ref="AF6:AF16" ca="1" si="12">AD6+AE6/10000000</f>
        <v>0.64302707041253848</v>
      </c>
      <c r="AG6">
        <f t="shared" ref="AG6:AG16" ca="1" si="13">RANK(AF6,$AF$5:$AF$16)</f>
        <v>2</v>
      </c>
      <c r="AH6" s="5" t="str">
        <f t="shared" ref="AH6:AH16" ca="1" si="14">D6+SUM(Z6:AC6)&amp;"-"&amp;E6+4-SUM(Z6:AC6)&amp;"-"&amp;F6</f>
        <v>9-5-0</v>
      </c>
    </row>
    <row r="7" spans="1:34" ht="15.75" thickBot="1" x14ac:dyDescent="0.3">
      <c r="A7">
        <v>3</v>
      </c>
      <c r="B7" t="s">
        <v>17</v>
      </c>
      <c r="C7" t="s">
        <v>5</v>
      </c>
      <c r="D7">
        <v>6</v>
      </c>
      <c r="E7" s="7">
        <v>4</v>
      </c>
      <c r="F7" s="7">
        <v>0</v>
      </c>
      <c r="G7">
        <v>0.6</v>
      </c>
      <c r="H7">
        <v>3</v>
      </c>
      <c r="I7">
        <v>78</v>
      </c>
      <c r="J7" s="2">
        <v>1145</v>
      </c>
      <c r="K7" s="2">
        <v>1110</v>
      </c>
      <c r="L7" s="2" t="s">
        <v>54</v>
      </c>
      <c r="M7" s="2">
        <v>57</v>
      </c>
      <c r="N7" s="11" t="str">
        <f>VLOOKUP($C7&amp;N$4,Schedule!$F$3:$J$170,5,FALSE)</f>
        <v>Robert Hilton</v>
      </c>
      <c r="O7" s="11" t="str">
        <f>VLOOKUP($C7&amp;O$4,Schedule!$F$3:$J$170,5,FALSE)</f>
        <v>Paulo Silva</v>
      </c>
      <c r="P7" s="11" t="str">
        <f>VLOOKUP($C7&amp;P$4,Schedule!$F$3:$J$170,5,FALSE)</f>
        <v>Emile Chin-Dickey</v>
      </c>
      <c r="Q7" s="11" t="str">
        <f>VLOOKUP($C7&amp;Q$4,Schedule!$F$3:$J$170,5,FALSE)</f>
        <v>Stephen Joynt</v>
      </c>
      <c r="R7" s="6">
        <f t="shared" ca="1" si="0"/>
        <v>103.67624920729999</v>
      </c>
      <c r="S7" s="6">
        <f t="shared" ca="1" si="0"/>
        <v>87.010177885301374</v>
      </c>
      <c r="T7" s="6">
        <f t="shared" ca="1" si="0"/>
        <v>115.42142272262548</v>
      </c>
      <c r="U7" s="6">
        <f t="shared" ca="1" si="0"/>
        <v>70.251356622498648</v>
      </c>
      <c r="V7" s="6">
        <f t="shared" ca="1" si="2"/>
        <v>83.645834934774456</v>
      </c>
      <c r="W7" s="6">
        <f t="shared" ca="1" si="3"/>
        <v>77.669099578406289</v>
      </c>
      <c r="X7" s="6">
        <f t="shared" ca="1" si="4"/>
        <v>97.235779443811964</v>
      </c>
      <c r="Y7" s="6">
        <f t="shared" ca="1" si="5"/>
        <v>112.72750869848389</v>
      </c>
      <c r="Z7" s="6">
        <f t="shared" ca="1" si="9"/>
        <v>1</v>
      </c>
      <c r="AA7" s="6">
        <f t="shared" ca="1" si="6"/>
        <v>1</v>
      </c>
      <c r="AB7" s="6">
        <f t="shared" ca="1" si="7"/>
        <v>1</v>
      </c>
      <c r="AC7" s="6">
        <f t="shared" ca="1" si="8"/>
        <v>0</v>
      </c>
      <c r="AD7" s="12">
        <f t="shared" ca="1" si="10"/>
        <v>0.6428571428571429</v>
      </c>
      <c r="AE7" s="5">
        <f t="shared" ca="1" si="11"/>
        <v>1521.3592064377256</v>
      </c>
      <c r="AF7" s="14">
        <f t="shared" ca="1" si="12"/>
        <v>0.64300927877778669</v>
      </c>
      <c r="AG7">
        <f t="shared" ca="1" si="13"/>
        <v>3</v>
      </c>
      <c r="AH7" s="5" t="str">
        <f t="shared" ca="1" si="14"/>
        <v>9-5-0</v>
      </c>
    </row>
    <row r="8" spans="1:34" ht="15.75" thickBot="1" x14ac:dyDescent="0.3">
      <c r="A8">
        <v>4</v>
      </c>
      <c r="B8" t="s">
        <v>22</v>
      </c>
      <c r="C8" t="s">
        <v>10</v>
      </c>
      <c r="D8">
        <v>6</v>
      </c>
      <c r="E8" s="7">
        <v>4</v>
      </c>
      <c r="F8" s="7">
        <v>0</v>
      </c>
      <c r="G8">
        <v>0.6</v>
      </c>
      <c r="H8">
        <v>3</v>
      </c>
      <c r="I8">
        <v>95</v>
      </c>
      <c r="J8" s="2">
        <v>1070</v>
      </c>
      <c r="K8" s="2">
        <v>1013</v>
      </c>
      <c r="L8" s="2" t="s">
        <v>55</v>
      </c>
      <c r="M8" s="2">
        <v>30</v>
      </c>
      <c r="N8" s="11" t="str">
        <f>VLOOKUP($C8&amp;N$4,Schedule!$F$3:$J$170,5,FALSE)</f>
        <v>Emile Chin-Dickey</v>
      </c>
      <c r="O8" s="11" t="str">
        <f>VLOOKUP($C8&amp;O$4,Schedule!$F$3:$J$170,5,FALSE)</f>
        <v>Stephen Joynt</v>
      </c>
      <c r="P8" s="11" t="str">
        <f>VLOOKUP($C8&amp;P$4,Schedule!$F$3:$J$170,5,FALSE)</f>
        <v>Stefan Hilts</v>
      </c>
      <c r="Q8" s="11" t="str">
        <f>VLOOKUP($C8&amp;Q$4,Schedule!$F$3:$J$170,5,FALSE)</f>
        <v>Andrew Joynt</v>
      </c>
      <c r="R8" s="6">
        <f t="shared" ca="1" si="0"/>
        <v>117.54896303130685</v>
      </c>
      <c r="S8" s="6">
        <f t="shared" ca="1" si="0"/>
        <v>55.86644353658847</v>
      </c>
      <c r="T8" s="6">
        <f t="shared" ca="1" si="0"/>
        <v>97.990652171729266</v>
      </c>
      <c r="U8" s="6">
        <f t="shared" ca="1" si="0"/>
        <v>99.134136927211529</v>
      </c>
      <c r="V8" s="6">
        <f t="shared" ca="1" si="2"/>
        <v>137.80416303590596</v>
      </c>
      <c r="W8" s="6">
        <f t="shared" ca="1" si="3"/>
        <v>117.12842656639403</v>
      </c>
      <c r="X8" s="6">
        <f t="shared" ca="1" si="4"/>
        <v>151.28117110640935</v>
      </c>
      <c r="Y8" s="6">
        <f t="shared" ca="1" si="5"/>
        <v>129.73868210844483</v>
      </c>
      <c r="Z8" s="6">
        <f t="shared" ca="1" si="9"/>
        <v>0</v>
      </c>
      <c r="AA8" s="6">
        <f t="shared" ca="1" si="6"/>
        <v>0</v>
      </c>
      <c r="AB8" s="6">
        <f t="shared" ca="1" si="7"/>
        <v>0</v>
      </c>
      <c r="AC8" s="6">
        <f t="shared" ca="1" si="8"/>
        <v>0</v>
      </c>
      <c r="AD8" s="12">
        <f t="shared" ca="1" si="10"/>
        <v>0.42857142857142855</v>
      </c>
      <c r="AE8" s="5">
        <f t="shared" ca="1" si="11"/>
        <v>1440.5401956668361</v>
      </c>
      <c r="AF8" s="14">
        <f t="shared" ca="1" si="12"/>
        <v>0.42871548259099523</v>
      </c>
      <c r="AG8">
        <f t="shared" ca="1" si="13"/>
        <v>8</v>
      </c>
      <c r="AH8" s="5" t="str">
        <f t="shared" ca="1" si="14"/>
        <v>6-8-0</v>
      </c>
    </row>
    <row r="9" spans="1:34" ht="15.75" thickBot="1" x14ac:dyDescent="0.3">
      <c r="A9">
        <v>5</v>
      </c>
      <c r="B9" t="s">
        <v>16</v>
      </c>
      <c r="C9" t="s">
        <v>4</v>
      </c>
      <c r="D9">
        <v>6</v>
      </c>
      <c r="E9" s="7">
        <v>4</v>
      </c>
      <c r="F9" s="7">
        <v>0</v>
      </c>
      <c r="G9">
        <v>0.6</v>
      </c>
      <c r="H9">
        <v>3</v>
      </c>
      <c r="I9">
        <v>50</v>
      </c>
      <c r="J9" s="2">
        <v>1024</v>
      </c>
      <c r="K9" s="2">
        <v>1009</v>
      </c>
      <c r="L9" s="2" t="s">
        <v>56</v>
      </c>
      <c r="M9" s="2">
        <v>9</v>
      </c>
      <c r="N9" s="11" t="str">
        <f>VLOOKUP($C9&amp;N$4,Schedule!$F$3:$J$170,5,FALSE)</f>
        <v>Jesse Hershman, Rafael Dionello</v>
      </c>
      <c r="O9" s="11" t="str">
        <f>VLOOKUP($C9&amp;O$4,Schedule!$F$3:$J$170,5,FALSE)</f>
        <v>mark silva</v>
      </c>
      <c r="P9" s="11" t="str">
        <f>VLOOKUP($C9&amp;P$4,Schedule!$F$3:$J$170,5,FALSE)</f>
        <v>Robert Hilton</v>
      </c>
      <c r="Q9" s="11" t="str">
        <f>VLOOKUP($C9&amp;Q$4,Schedule!$F$3:$J$170,5,FALSE)</f>
        <v>Dan Cohen</v>
      </c>
      <c r="R9" s="6">
        <f t="shared" ca="1" si="0"/>
        <v>122.19496792107519</v>
      </c>
      <c r="S9" s="6">
        <f t="shared" ca="1" si="0"/>
        <v>77.669099578406289</v>
      </c>
      <c r="T9" s="6">
        <f t="shared" ca="1" si="0"/>
        <v>69.216443404834791</v>
      </c>
      <c r="U9" s="6">
        <f t="shared" ca="1" si="0"/>
        <v>54.598417419736933</v>
      </c>
      <c r="V9" s="6">
        <f t="shared" ca="1" si="2"/>
        <v>90.917784607621797</v>
      </c>
      <c r="W9" s="6">
        <f t="shared" ca="1" si="3"/>
        <v>87.010177885301374</v>
      </c>
      <c r="X9" s="6">
        <f t="shared" ca="1" si="4"/>
        <v>107.13612674776719</v>
      </c>
      <c r="Y9" s="6">
        <f t="shared" ca="1" si="5"/>
        <v>158.1601139398947</v>
      </c>
      <c r="Z9" s="6">
        <f t="shared" ca="1" si="9"/>
        <v>1</v>
      </c>
      <c r="AA9" s="6">
        <f t="shared" ca="1" si="6"/>
        <v>0</v>
      </c>
      <c r="AB9" s="6">
        <f t="shared" ca="1" si="7"/>
        <v>0</v>
      </c>
      <c r="AC9" s="6">
        <f t="shared" ca="1" si="8"/>
        <v>0</v>
      </c>
      <c r="AD9" s="12">
        <f t="shared" ca="1" si="10"/>
        <v>0.5</v>
      </c>
      <c r="AE9" s="5">
        <f t="shared" ca="1" si="11"/>
        <v>1347.6789283240532</v>
      </c>
      <c r="AF9" s="14">
        <f t="shared" ca="1" si="12"/>
        <v>0.5001347678928324</v>
      </c>
      <c r="AG9">
        <f t="shared" ca="1" si="13"/>
        <v>6</v>
      </c>
      <c r="AH9" s="5" t="str">
        <f t="shared" ca="1" si="14"/>
        <v>7-7-0</v>
      </c>
    </row>
    <row r="10" spans="1:34" ht="15.75" thickBot="1" x14ac:dyDescent="0.3">
      <c r="A10">
        <v>6</v>
      </c>
      <c r="B10" t="s">
        <v>21</v>
      </c>
      <c r="C10" t="s">
        <v>9</v>
      </c>
      <c r="D10">
        <v>5</v>
      </c>
      <c r="E10" s="7">
        <v>4</v>
      </c>
      <c r="F10" s="7">
        <v>1</v>
      </c>
      <c r="G10">
        <v>0.55000000000000004</v>
      </c>
      <c r="H10">
        <v>3.5</v>
      </c>
      <c r="I10">
        <v>74</v>
      </c>
      <c r="J10" s="2">
        <v>1109</v>
      </c>
      <c r="K10" s="2">
        <v>1155</v>
      </c>
      <c r="L10" s="2" t="s">
        <v>56</v>
      </c>
      <c r="M10" s="2">
        <v>7</v>
      </c>
      <c r="N10" s="11" t="str">
        <f>VLOOKUP($C10&amp;N$4,Schedule!$F$3:$J$170,5,FALSE)</f>
        <v>Paulo Silva</v>
      </c>
      <c r="O10" s="11" t="str">
        <f>VLOOKUP($C10&amp;O$4,Schedule!$F$3:$J$170,5,FALSE)</f>
        <v>Emile Chin-Dickey</v>
      </c>
      <c r="P10" s="11" t="str">
        <f>VLOOKUP($C10&amp;P$4,Schedule!$F$3:$J$170,5,FALSE)</f>
        <v>Stephen Joynt</v>
      </c>
      <c r="Q10" s="11" t="str">
        <f>VLOOKUP($C10&amp;Q$4,Schedule!$F$3:$J$170,5,FALSE)</f>
        <v>Stefan Hilts</v>
      </c>
      <c r="R10" s="6">
        <f t="shared" ca="1" si="0"/>
        <v>90.917784607621797</v>
      </c>
      <c r="S10" s="6">
        <f t="shared" ca="1" si="0"/>
        <v>110.90248569240474</v>
      </c>
      <c r="T10" s="6">
        <f t="shared" ca="1" si="0"/>
        <v>88.642803786525889</v>
      </c>
      <c r="U10" s="6">
        <f t="shared" ca="1" si="0"/>
        <v>101.96016024542941</v>
      </c>
      <c r="V10" s="6">
        <f t="shared" ca="1" si="2"/>
        <v>122.19496792107519</v>
      </c>
      <c r="W10" s="6">
        <f t="shared" ca="1" si="3"/>
        <v>133.50510002594265</v>
      </c>
      <c r="X10" s="6">
        <f t="shared" ca="1" si="4"/>
        <v>91.95002154308105</v>
      </c>
      <c r="Y10" s="6">
        <f t="shared" ca="1" si="5"/>
        <v>139.76301684794211</v>
      </c>
      <c r="Z10" s="6">
        <f t="shared" ca="1" si="9"/>
        <v>0</v>
      </c>
      <c r="AA10" s="6">
        <f t="shared" ca="1" si="6"/>
        <v>0</v>
      </c>
      <c r="AB10" s="6">
        <f t="shared" ca="1" si="7"/>
        <v>0</v>
      </c>
      <c r="AC10" s="6">
        <f t="shared" ca="1" si="8"/>
        <v>0</v>
      </c>
      <c r="AD10" s="12">
        <f t="shared" ca="1" si="10"/>
        <v>0.38461538461538464</v>
      </c>
      <c r="AE10" s="5">
        <f t="shared" ca="1" si="11"/>
        <v>1501.4232343319818</v>
      </c>
      <c r="AF10" s="14">
        <f t="shared" ca="1" si="12"/>
        <v>0.38476552693881783</v>
      </c>
      <c r="AG10">
        <f t="shared" ca="1" si="13"/>
        <v>9</v>
      </c>
      <c r="AH10" s="5" t="str">
        <f t="shared" ca="1" si="14"/>
        <v>5-8-1</v>
      </c>
    </row>
    <row r="11" spans="1:34" ht="15.75" thickBot="1" x14ac:dyDescent="0.3">
      <c r="A11">
        <v>7</v>
      </c>
      <c r="B11" t="s">
        <v>20</v>
      </c>
      <c r="C11" t="s">
        <v>8</v>
      </c>
      <c r="D11">
        <v>5</v>
      </c>
      <c r="E11" s="7">
        <v>4</v>
      </c>
      <c r="F11" s="7">
        <v>1</v>
      </c>
      <c r="G11">
        <v>0.55000000000000004</v>
      </c>
      <c r="H11">
        <v>3.5</v>
      </c>
      <c r="I11">
        <v>52</v>
      </c>
      <c r="J11" s="2">
        <v>1051</v>
      </c>
      <c r="K11" s="2">
        <v>981</v>
      </c>
      <c r="L11" s="2" t="s">
        <v>57</v>
      </c>
      <c r="M11" s="2">
        <v>10</v>
      </c>
      <c r="N11" s="11" t="str">
        <f>VLOOKUP($C11&amp;N$4,Schedule!$F$3:$J$170,5,FALSE)</f>
        <v>Greg Smith</v>
      </c>
      <c r="O11" s="11" t="str">
        <f>VLOOKUP($C11&amp;O$4,Schedule!$F$3:$J$170,5,FALSE)</f>
        <v>Jesse Hershman, Rafael Dionello</v>
      </c>
      <c r="P11" s="11" t="str">
        <f>VLOOKUP($C11&amp;P$4,Schedule!$F$3:$J$170,5,FALSE)</f>
        <v>mark silva</v>
      </c>
      <c r="Q11" s="11" t="str">
        <f>VLOOKUP($C11&amp;Q$4,Schedule!$F$3:$J$170,5,FALSE)</f>
        <v>Robert Hilton</v>
      </c>
      <c r="R11" s="6">
        <f t="shared" ca="1" si="0"/>
        <v>137.80416303590596</v>
      </c>
      <c r="S11" s="6">
        <f t="shared" ca="1" si="0"/>
        <v>133.50510002594265</v>
      </c>
      <c r="T11" s="6">
        <f t="shared" ca="1" si="0"/>
        <v>97.235779443811964</v>
      </c>
      <c r="U11" s="6">
        <f t="shared" ca="1" si="0"/>
        <v>102.12924688356968</v>
      </c>
      <c r="V11" s="6">
        <f t="shared" ca="1" si="2"/>
        <v>117.54896303130685</v>
      </c>
      <c r="W11" s="6">
        <f t="shared" ca="1" si="3"/>
        <v>110.90248569240474</v>
      </c>
      <c r="X11" s="6">
        <f t="shared" ca="1" si="4"/>
        <v>115.42142272262548</v>
      </c>
      <c r="Y11" s="6">
        <f t="shared" ca="1" si="5"/>
        <v>96.602393961348596</v>
      </c>
      <c r="Z11" s="6">
        <f t="shared" ca="1" si="9"/>
        <v>1</v>
      </c>
      <c r="AA11" s="6">
        <f t="shared" ca="1" si="6"/>
        <v>1</v>
      </c>
      <c r="AB11" s="6">
        <f t="shared" ca="1" si="7"/>
        <v>0</v>
      </c>
      <c r="AC11" s="6">
        <f t="shared" ca="1" si="8"/>
        <v>1</v>
      </c>
      <c r="AD11" s="12">
        <f t="shared" ca="1" si="10"/>
        <v>0.61538461538461542</v>
      </c>
      <c r="AE11" s="5">
        <f t="shared" ca="1" si="11"/>
        <v>1521.6742893892301</v>
      </c>
      <c r="AF11" s="14">
        <f t="shared" ca="1" si="12"/>
        <v>0.6155367828135544</v>
      </c>
      <c r="AG11">
        <f t="shared" ca="1" si="13"/>
        <v>4</v>
      </c>
      <c r="AH11" s="5" t="str">
        <f t="shared" ca="1" si="14"/>
        <v>8-5-1</v>
      </c>
    </row>
    <row r="12" spans="1:34" ht="15.75" thickBot="1" x14ac:dyDescent="0.3">
      <c r="A12">
        <v>8</v>
      </c>
      <c r="B12" t="s">
        <v>18</v>
      </c>
      <c r="C12" t="s">
        <v>6</v>
      </c>
      <c r="D12">
        <v>4</v>
      </c>
      <c r="E12" s="7">
        <v>5</v>
      </c>
      <c r="F12" s="7">
        <v>1</v>
      </c>
      <c r="G12">
        <v>0.45</v>
      </c>
      <c r="H12">
        <v>4.5</v>
      </c>
      <c r="I12">
        <v>38</v>
      </c>
      <c r="J12" s="2">
        <v>1058</v>
      </c>
      <c r="K12" s="2">
        <v>1103</v>
      </c>
      <c r="L12" s="2" t="s">
        <v>58</v>
      </c>
      <c r="M12" s="2">
        <v>22</v>
      </c>
      <c r="N12" s="11" t="str">
        <f>VLOOKUP($C12&amp;N$4,Schedule!$F$3:$J$170,5,FALSE)</f>
        <v>Stephen Joynt</v>
      </c>
      <c r="O12" s="11" t="str">
        <f>VLOOKUP($C12&amp;O$4,Schedule!$F$3:$J$170,5,FALSE)</f>
        <v>Stefan Hilts</v>
      </c>
      <c r="P12" s="11" t="str">
        <f>VLOOKUP($C12&amp;P$4,Schedule!$F$3:$J$170,5,FALSE)</f>
        <v>Andrew Joynt</v>
      </c>
      <c r="Q12" s="11" t="str">
        <f>VLOOKUP($C12&amp;Q$4,Schedule!$F$3:$J$170,5,FALSE)</f>
        <v>William Schager</v>
      </c>
      <c r="R12" s="15">
        <f ca="1">MAX(_xlfn.NORM.INV(RAND(),$U28,$W28),V12+1)</f>
        <v>133.86300906005718</v>
      </c>
      <c r="S12" s="15">
        <f ca="1">MAX(_xlfn.NORM.INV(RAND(),$U28,$W28),W12+1)</f>
        <v>115.89987510342202</v>
      </c>
      <c r="T12" s="6">
        <f t="shared" ca="1" si="0"/>
        <v>116.33493763422919</v>
      </c>
      <c r="U12" s="6">
        <f t="shared" ca="1" si="0"/>
        <v>82.560980467093174</v>
      </c>
      <c r="V12" s="6">
        <f t="shared" ca="1" si="2"/>
        <v>120.16554856089017</v>
      </c>
      <c r="W12" s="6">
        <f t="shared" ca="1" si="3"/>
        <v>114.89987510342202</v>
      </c>
      <c r="X12" s="6">
        <f t="shared" ca="1" si="4"/>
        <v>130.38575639024509</v>
      </c>
      <c r="Y12" s="6">
        <f t="shared" ca="1" si="5"/>
        <v>99.066101551521172</v>
      </c>
      <c r="Z12" s="6">
        <f t="shared" ca="1" si="9"/>
        <v>1</v>
      </c>
      <c r="AA12" s="6">
        <f t="shared" ca="1" si="6"/>
        <v>1</v>
      </c>
      <c r="AB12" s="6">
        <f t="shared" ca="1" si="7"/>
        <v>0</v>
      </c>
      <c r="AC12" s="6">
        <f t="shared" ca="1" si="8"/>
        <v>0</v>
      </c>
      <c r="AD12" s="12">
        <f t="shared" ca="1" si="10"/>
        <v>0.46153846153846156</v>
      </c>
      <c r="AE12" s="5">
        <f t="shared" ca="1" si="11"/>
        <v>1506.6588022648016</v>
      </c>
      <c r="AF12" s="14">
        <f t="shared" ca="1" si="12"/>
        <v>0.46168912741868806</v>
      </c>
      <c r="AG12">
        <f t="shared" ca="1" si="13"/>
        <v>7</v>
      </c>
      <c r="AH12" s="5" t="str">
        <f t="shared" ca="1" si="14"/>
        <v>6-7-1</v>
      </c>
    </row>
    <row r="13" spans="1:34" ht="15.75" thickBot="1" x14ac:dyDescent="0.3">
      <c r="A13">
        <v>9</v>
      </c>
      <c r="B13" t="s">
        <v>23</v>
      </c>
      <c r="C13" t="s">
        <v>11</v>
      </c>
      <c r="D13">
        <v>4</v>
      </c>
      <c r="E13" s="7">
        <v>6</v>
      </c>
      <c r="F13" s="7">
        <v>0</v>
      </c>
      <c r="G13">
        <v>0.4</v>
      </c>
      <c r="H13">
        <v>5</v>
      </c>
      <c r="I13">
        <v>13</v>
      </c>
      <c r="J13" s="2">
        <v>1092</v>
      </c>
      <c r="K13" s="2">
        <v>1080</v>
      </c>
      <c r="L13" s="2" t="s">
        <v>56</v>
      </c>
      <c r="M13" s="2">
        <v>14</v>
      </c>
      <c r="N13" s="11" t="str">
        <f>VLOOKUP($C13&amp;N$4,Schedule!$F$3:$J$170,5,FALSE)</f>
        <v>Karl Richardson</v>
      </c>
      <c r="O13" s="11" t="str">
        <f>VLOOKUP($C13&amp;O$4,Schedule!$F$3:$J$170,5,FALSE)</f>
        <v>Greg Smith</v>
      </c>
      <c r="P13" s="11" t="str">
        <f>VLOOKUP($C13&amp;P$4,Schedule!$F$3:$J$170,5,FALSE)</f>
        <v>Jesse Hershman, Rafael Dionello</v>
      </c>
      <c r="Q13" s="11" t="str">
        <f>VLOOKUP($C13&amp;Q$4,Schedule!$F$3:$J$170,5,FALSE)</f>
        <v>mark silva</v>
      </c>
      <c r="R13" s="6">
        <f t="shared" ca="1" si="0"/>
        <v>120.16554856089017</v>
      </c>
      <c r="S13" s="6">
        <f t="shared" ca="1" si="0"/>
        <v>117.12842656639403</v>
      </c>
      <c r="T13" s="6">
        <f t="shared" ca="1" si="0"/>
        <v>91.95002154308105</v>
      </c>
      <c r="U13" s="6">
        <f t="shared" ca="1" si="0"/>
        <v>112.72750869848389</v>
      </c>
      <c r="V13" s="6">
        <f t="shared" ca="1" si="2"/>
        <v>133.86300906005718</v>
      </c>
      <c r="W13" s="6">
        <f t="shared" ca="1" si="3"/>
        <v>55.86644353658847</v>
      </c>
      <c r="X13" s="6">
        <f t="shared" ca="1" si="4"/>
        <v>88.642803786525889</v>
      </c>
      <c r="Y13" s="6">
        <f t="shared" ca="1" si="5"/>
        <v>70.251356622498648</v>
      </c>
      <c r="Z13" s="6">
        <f t="shared" ca="1" si="9"/>
        <v>0</v>
      </c>
      <c r="AA13" s="6">
        <f t="shared" ca="1" si="6"/>
        <v>1</v>
      </c>
      <c r="AB13" s="6">
        <f t="shared" ca="1" si="7"/>
        <v>1</v>
      </c>
      <c r="AC13" s="6">
        <f t="shared" ca="1" si="8"/>
        <v>1</v>
      </c>
      <c r="AD13" s="12">
        <f t="shared" ca="1" si="10"/>
        <v>0.5</v>
      </c>
      <c r="AE13" s="5">
        <f t="shared" ca="1" si="11"/>
        <v>1533.9715053688492</v>
      </c>
      <c r="AF13" s="14">
        <f t="shared" ca="1" si="12"/>
        <v>0.50015339715053686</v>
      </c>
      <c r="AG13">
        <f t="shared" ca="1" si="13"/>
        <v>5</v>
      </c>
      <c r="AH13" s="5" t="str">
        <f t="shared" ca="1" si="14"/>
        <v>7-7-0</v>
      </c>
    </row>
    <row r="14" spans="1:34" ht="15.75" thickBot="1" x14ac:dyDescent="0.3">
      <c r="A14">
        <v>10</v>
      </c>
      <c r="B14" t="s">
        <v>14</v>
      </c>
      <c r="C14" t="s">
        <v>2</v>
      </c>
      <c r="D14">
        <v>3</v>
      </c>
      <c r="E14" s="7">
        <v>7</v>
      </c>
      <c r="F14" s="7">
        <v>0</v>
      </c>
      <c r="G14">
        <v>0.3</v>
      </c>
      <c r="H14">
        <v>6</v>
      </c>
      <c r="I14">
        <v>1</v>
      </c>
      <c r="J14" s="2">
        <v>952</v>
      </c>
      <c r="K14" s="2">
        <v>1113</v>
      </c>
      <c r="L14" s="2" t="s">
        <v>59</v>
      </c>
      <c r="M14" s="2">
        <v>18</v>
      </c>
      <c r="N14" s="11" t="str">
        <f>VLOOKUP($C14&amp;N$4,Schedule!$F$3:$J$170,5,FALSE)</f>
        <v>Stefan Hilts</v>
      </c>
      <c r="O14" s="11" t="str">
        <f>VLOOKUP($C14&amp;O$4,Schedule!$F$3:$J$170,5,FALSE)</f>
        <v>Andrew Joynt</v>
      </c>
      <c r="P14" s="11" t="str">
        <f>VLOOKUP($C14&amp;P$4,Schedule!$F$3:$J$170,5,FALSE)</f>
        <v>Dan Cohen</v>
      </c>
      <c r="Q14" s="11" t="str">
        <f>VLOOKUP($C14&amp;Q$4,Schedule!$F$3:$J$170,5,FALSE)</f>
        <v>Karl Richardson</v>
      </c>
      <c r="R14" s="6">
        <f t="shared" ca="1" si="0"/>
        <v>64.461872761140086</v>
      </c>
      <c r="S14" s="6">
        <f t="shared" ca="1" si="0"/>
        <v>101.08588291666325</v>
      </c>
      <c r="T14" s="6">
        <f t="shared" ca="1" si="0"/>
        <v>113.65710595766005</v>
      </c>
      <c r="U14" s="6">
        <f t="shared" ca="1" si="0"/>
        <v>99.066101551521172</v>
      </c>
      <c r="V14" s="6">
        <f t="shared" ca="1" si="2"/>
        <v>149.65568458959248</v>
      </c>
      <c r="W14" s="6">
        <f t="shared" ca="1" si="3"/>
        <v>58.835340408734424</v>
      </c>
      <c r="X14" s="6">
        <f t="shared" ca="1" si="4"/>
        <v>154.83750373445739</v>
      </c>
      <c r="Y14" s="6">
        <f t="shared" ca="1" si="5"/>
        <v>82.560980467093174</v>
      </c>
      <c r="Z14" s="6">
        <f t="shared" ca="1" si="9"/>
        <v>0</v>
      </c>
      <c r="AA14" s="6">
        <f t="shared" ca="1" si="6"/>
        <v>1</v>
      </c>
      <c r="AB14" s="6">
        <f t="shared" ca="1" si="7"/>
        <v>0</v>
      </c>
      <c r="AC14" s="6">
        <f t="shared" ca="1" si="8"/>
        <v>1</v>
      </c>
      <c r="AD14" s="12">
        <f t="shared" ca="1" si="10"/>
        <v>0.35714285714285715</v>
      </c>
      <c r="AE14" s="5">
        <f t="shared" ca="1" si="11"/>
        <v>1330.2709631869845</v>
      </c>
      <c r="AF14" s="14">
        <f t="shared" ca="1" si="12"/>
        <v>0.35727588423917583</v>
      </c>
      <c r="AG14">
        <f t="shared" ca="1" si="13"/>
        <v>10</v>
      </c>
      <c r="AH14" s="5" t="str">
        <f t="shared" ca="1" si="14"/>
        <v>5-9-0</v>
      </c>
    </row>
    <row r="15" spans="1:34" ht="15.75" thickBot="1" x14ac:dyDescent="0.3">
      <c r="A15">
        <v>11</v>
      </c>
      <c r="B15" t="s">
        <v>13</v>
      </c>
      <c r="C15" t="s">
        <v>1</v>
      </c>
      <c r="D15">
        <v>2</v>
      </c>
      <c r="E15" s="7">
        <v>7</v>
      </c>
      <c r="F15" s="7">
        <v>1</v>
      </c>
      <c r="G15">
        <v>0.25</v>
      </c>
      <c r="H15">
        <v>6.5</v>
      </c>
      <c r="I15">
        <v>2</v>
      </c>
      <c r="J15" s="2">
        <v>1038</v>
      </c>
      <c r="K15" s="2">
        <v>1174</v>
      </c>
      <c r="L15" s="2" t="s">
        <v>59</v>
      </c>
      <c r="M15" s="2">
        <v>48</v>
      </c>
      <c r="N15" s="11" t="str">
        <f>VLOOKUP($C15&amp;N$4,Schedule!$F$3:$J$170,5,FALSE)</f>
        <v>mark silva</v>
      </c>
      <c r="O15" s="11" t="str">
        <f>VLOOKUP($C15&amp;O$4,Schedule!$F$3:$J$170,5,FALSE)</f>
        <v>Dan Cohen</v>
      </c>
      <c r="P15" s="11" t="str">
        <f>VLOOKUP($C15&amp;P$4,Schedule!$F$3:$J$170,5,FALSE)</f>
        <v>Paulo Silva</v>
      </c>
      <c r="Q15" s="11" t="str">
        <f>VLOOKUP($C15&amp;Q$4,Schedule!$F$3:$J$170,5,FALSE)</f>
        <v>Emile Chin-Dickey</v>
      </c>
      <c r="R15" s="6">
        <f t="shared" ca="1" si="0"/>
        <v>83.645834934774456</v>
      </c>
      <c r="S15" s="6">
        <f t="shared" ca="1" si="0"/>
        <v>132.10127448223008</v>
      </c>
      <c r="T15" s="6">
        <f t="shared" ca="1" si="0"/>
        <v>107.13612674776719</v>
      </c>
      <c r="U15" s="6">
        <f t="shared" ca="1" si="0"/>
        <v>96.602393961348596</v>
      </c>
      <c r="V15" s="6">
        <f t="shared" ca="1" si="2"/>
        <v>103.67624920729999</v>
      </c>
      <c r="W15" s="6">
        <f t="shared" ca="1" si="3"/>
        <v>119.19516942223802</v>
      </c>
      <c r="X15" s="6">
        <f t="shared" ca="1" si="4"/>
        <v>69.216443404834791</v>
      </c>
      <c r="Y15" s="6">
        <f t="shared" ca="1" si="5"/>
        <v>102.12924688356968</v>
      </c>
      <c r="Z15" s="6">
        <f t="shared" ca="1" si="9"/>
        <v>0</v>
      </c>
      <c r="AA15" s="6">
        <f t="shared" ca="1" si="6"/>
        <v>1</v>
      </c>
      <c r="AB15" s="6">
        <f t="shared" ca="1" si="7"/>
        <v>1</v>
      </c>
      <c r="AC15" s="6">
        <f t="shared" ca="1" si="8"/>
        <v>0</v>
      </c>
      <c r="AD15" s="12">
        <f t="shared" ca="1" si="10"/>
        <v>0.30769230769230771</v>
      </c>
      <c r="AE15" s="5">
        <f t="shared" ca="1" si="11"/>
        <v>1457.4856301261202</v>
      </c>
      <c r="AF15" s="14">
        <f t="shared" ca="1" si="12"/>
        <v>0.30783805625532035</v>
      </c>
      <c r="AG15">
        <f t="shared" ca="1" si="13"/>
        <v>11</v>
      </c>
      <c r="AH15" s="5" t="str">
        <f t="shared" ca="1" si="14"/>
        <v>4-9-1</v>
      </c>
    </row>
    <row r="16" spans="1:34" x14ac:dyDescent="0.25">
      <c r="A16">
        <v>12</v>
      </c>
      <c r="B16" t="s">
        <v>15</v>
      </c>
      <c r="C16" t="s">
        <v>3</v>
      </c>
      <c r="D16">
        <v>2</v>
      </c>
      <c r="E16" s="7">
        <v>8</v>
      </c>
      <c r="F16" s="7">
        <v>0</v>
      </c>
      <c r="G16">
        <v>0.2</v>
      </c>
      <c r="H16">
        <v>7</v>
      </c>
      <c r="I16">
        <v>0</v>
      </c>
      <c r="J16" s="4">
        <v>993</v>
      </c>
      <c r="K16" s="4">
        <v>1223</v>
      </c>
      <c r="L16" s="4" t="s">
        <v>58</v>
      </c>
      <c r="M16" s="4">
        <v>45</v>
      </c>
      <c r="N16" s="11" t="str">
        <f>VLOOKUP($C16&amp;N$4,Schedule!$F$3:$J$170,5,FALSE)</f>
        <v>Dan Cohen</v>
      </c>
      <c r="O16" s="11" t="str">
        <f>VLOOKUP($C16&amp;O$4,Schedule!$F$3:$J$170,5,FALSE)</f>
        <v>William Schager</v>
      </c>
      <c r="P16" s="11" t="str">
        <f>VLOOKUP($C16&amp;P$4,Schedule!$F$3:$J$170,5,FALSE)</f>
        <v>Karl Richardson</v>
      </c>
      <c r="Q16" s="11" t="str">
        <f>VLOOKUP($C16&amp;Q$4,Schedule!$F$3:$J$170,5,FALSE)</f>
        <v>Greg Smith</v>
      </c>
      <c r="R16" s="6">
        <f t="shared" ca="1" si="0"/>
        <v>79.651582779697577</v>
      </c>
      <c r="S16" s="6">
        <f t="shared" ca="1" si="0"/>
        <v>58.835340408734424</v>
      </c>
      <c r="T16" s="6">
        <f t="shared" ca="1" si="0"/>
        <v>130.38575639024509</v>
      </c>
      <c r="U16" s="6">
        <f t="shared" ca="1" si="0"/>
        <v>129.73868210844483</v>
      </c>
      <c r="V16" s="6">
        <f t="shared" ca="1" si="2"/>
        <v>106.08276685900678</v>
      </c>
      <c r="W16" s="6">
        <f t="shared" ca="1" si="3"/>
        <v>101.08588291666325</v>
      </c>
      <c r="X16" s="6">
        <f t="shared" ca="1" si="4"/>
        <v>116.33493763422919</v>
      </c>
      <c r="Y16" s="6">
        <f t="shared" ca="1" si="5"/>
        <v>99.134136927211529</v>
      </c>
      <c r="Z16" s="6">
        <f t="shared" ca="1" si="9"/>
        <v>0</v>
      </c>
      <c r="AA16" s="6">
        <f t="shared" ca="1" si="6"/>
        <v>0</v>
      </c>
      <c r="AB16" s="6">
        <f t="shared" ca="1" si="7"/>
        <v>1</v>
      </c>
      <c r="AC16" s="6">
        <f t="shared" ca="1" si="8"/>
        <v>1</v>
      </c>
      <c r="AD16" s="12">
        <f t="shared" ca="1" si="10"/>
        <v>0.2857142857142857</v>
      </c>
      <c r="AE16" s="5">
        <f t="shared" ca="1" si="11"/>
        <v>1391.6113616871219</v>
      </c>
      <c r="AF16" s="14">
        <f t="shared" ca="1" si="12"/>
        <v>0.28585344685045438</v>
      </c>
      <c r="AG16">
        <f t="shared" ca="1" si="13"/>
        <v>12</v>
      </c>
      <c r="AH16" s="5" t="str">
        <f t="shared" ca="1" si="14"/>
        <v>4-10-0</v>
      </c>
    </row>
    <row r="17" spans="2:33" x14ac:dyDescent="0.25">
      <c r="Q17" t="s">
        <v>45</v>
      </c>
      <c r="R17" s="15" t="e">
        <f ca="1">MAX(_xlfn.NORM.INV(RAND(),$U33,$W33),V17+1)</f>
        <v>#NUM!</v>
      </c>
      <c r="AF17" t="s">
        <v>103</v>
      </c>
      <c r="AG17" t="str">
        <f ca="1">VLOOKUP(6,$AG$5:$AH$16,2,FALSE)</f>
        <v>7-7-0</v>
      </c>
    </row>
    <row r="18" spans="2:33" x14ac:dyDescent="0.25">
      <c r="Q18" t="s">
        <v>83</v>
      </c>
      <c r="R18" s="15" t="e">
        <f ca="1">MIN(_xlfn.NORM.INV(RAND(),$U34,$W34),V18-1)</f>
        <v>#NUM!</v>
      </c>
      <c r="AF18" t="s">
        <v>104</v>
      </c>
      <c r="AG18" t="str">
        <f ca="1">VLOOKUP(7,$AG$5:$AH$16,2,FALSE)</f>
        <v>6-7-1</v>
      </c>
    </row>
    <row r="19" spans="2:33" x14ac:dyDescent="0.25">
      <c r="W19">
        <f>STDEV(D21:M32)</f>
        <v>23.38052051379092</v>
      </c>
    </row>
    <row r="20" spans="2:33" x14ac:dyDescent="0.25">
      <c r="D20">
        <v>1</v>
      </c>
      <c r="E20" s="7">
        <v>2</v>
      </c>
      <c r="F20" s="7">
        <v>3</v>
      </c>
      <c r="G20">
        <v>4</v>
      </c>
      <c r="H20">
        <v>5</v>
      </c>
      <c r="I20">
        <v>6</v>
      </c>
      <c r="J20">
        <v>7</v>
      </c>
      <c r="K20">
        <v>8</v>
      </c>
      <c r="L20">
        <v>9</v>
      </c>
      <c r="M20">
        <v>10</v>
      </c>
      <c r="N20">
        <v>11</v>
      </c>
      <c r="O20">
        <v>12</v>
      </c>
      <c r="P20">
        <v>13</v>
      </c>
      <c r="Q20">
        <v>14</v>
      </c>
      <c r="S20" t="s">
        <v>66</v>
      </c>
      <c r="T20" t="s">
        <v>67</v>
      </c>
      <c r="U20" t="s">
        <v>68</v>
      </c>
      <c r="V20" t="s">
        <v>69</v>
      </c>
      <c r="W20" t="s">
        <v>70</v>
      </c>
    </row>
    <row r="21" spans="2:33" x14ac:dyDescent="0.25">
      <c r="B21" t="s">
        <v>31</v>
      </c>
      <c r="C21" t="s">
        <v>7</v>
      </c>
      <c r="D21">
        <f>VLOOKUP($C21&amp;D$20,Schedule!$F$3:$G$170,2,FALSE)</f>
        <v>148</v>
      </c>
      <c r="E21" s="7">
        <f>VLOOKUP($C21&amp;E$20,Schedule!$F$3:$G$170,2,FALSE)</f>
        <v>125</v>
      </c>
      <c r="F21" s="7">
        <f>VLOOKUP($C21&amp;F$20,Schedule!$F$3:$G$170,2,FALSE)</f>
        <v>137</v>
      </c>
      <c r="G21">
        <f>VLOOKUP($C21&amp;G$20,Schedule!$F$3:$G$170,2,FALSE)</f>
        <v>156</v>
      </c>
      <c r="H21">
        <f>VLOOKUP($C21&amp;H$20,Schedule!$F$3:$G$170,2,FALSE)</f>
        <v>167</v>
      </c>
      <c r="I21">
        <f>VLOOKUP($C21&amp;I$20,Schedule!$F$3:$G$170,2,FALSE)</f>
        <v>122</v>
      </c>
      <c r="J21">
        <f>VLOOKUP($C21&amp;J$20,Schedule!$F$3:$G$170,2,FALSE)</f>
        <v>102</v>
      </c>
      <c r="K21">
        <f>VLOOKUP($C21&amp;K$20,Schedule!$F$3:$G$170,2,FALSE)</f>
        <v>110</v>
      </c>
      <c r="L21">
        <f>VLOOKUP($C21&amp;L$20,Schedule!$F$3:$G$170,2,FALSE)</f>
        <v>105</v>
      </c>
      <c r="M21">
        <f>VLOOKUP($C21&amp;M$20,Schedule!$F$3:$G$170,2,FALSE)</f>
        <v>131</v>
      </c>
      <c r="N21">
        <f>VLOOKUP($C21&amp;N$20,Schedule!$F$3:$G$170,2,FALSE)</f>
        <v>0</v>
      </c>
      <c r="O21">
        <f>VLOOKUP($C21&amp;O$20,Schedule!$F$3:$G$170,2,FALSE)</f>
        <v>0</v>
      </c>
      <c r="P21">
        <f>VLOOKUP($C21&amp;P$20,Schedule!$F$3:$G$170,2,FALSE)</f>
        <v>0</v>
      </c>
      <c r="Q21">
        <f>VLOOKUP($C21&amp;Q$20,Schedule!$F$3:$G$170,2,FALSE)</f>
        <v>0</v>
      </c>
      <c r="S21">
        <f>SUMIF(Schedule!$E$3:$E$170,Standings!$C21,Schedule!K$3:K$170)</f>
        <v>4</v>
      </c>
      <c r="T21">
        <f>SUMIF(Schedule!$E$3:$E$170,Standings!$C21,Schedule!L$3:L$170)</f>
        <v>0</v>
      </c>
      <c r="U21">
        <f t="shared" ref="U21:U32" si="15">AVERAGE(D21:M21)</f>
        <v>130.30000000000001</v>
      </c>
      <c r="V21">
        <f>MIN(D21:M21)</f>
        <v>102</v>
      </c>
      <c r="W21">
        <f>STDEV(D21:M21)</f>
        <v>21.899010632141977</v>
      </c>
    </row>
    <row r="22" spans="2:33" x14ac:dyDescent="0.25">
      <c r="B22" t="s">
        <v>24</v>
      </c>
      <c r="C22" t="s">
        <v>0</v>
      </c>
      <c r="D22">
        <f>VLOOKUP($C22&amp;D$20,Schedule!$F$3:$G$170,2,FALSE)</f>
        <v>126</v>
      </c>
      <c r="E22" s="7">
        <f>VLOOKUP($C22&amp;E$20,Schedule!$F$3:$G$170,2,FALSE)</f>
        <v>152</v>
      </c>
      <c r="F22" s="7">
        <f>VLOOKUP($C22&amp;F$20,Schedule!$F$3:$G$170,2,FALSE)</f>
        <v>88</v>
      </c>
      <c r="G22">
        <f>VLOOKUP($C22&amp;G$20,Schedule!$F$3:$G$170,2,FALSE)</f>
        <v>105</v>
      </c>
      <c r="H22">
        <f>VLOOKUP($C22&amp;H$20,Schedule!$F$3:$G$170,2,FALSE)</f>
        <v>121</v>
      </c>
      <c r="I22">
        <f>VLOOKUP($C22&amp;I$20,Schedule!$F$3:$G$170,2,FALSE)</f>
        <v>90</v>
      </c>
      <c r="J22">
        <f>VLOOKUP($C22&amp;J$20,Schedule!$F$3:$G$170,2,FALSE)</f>
        <v>137</v>
      </c>
      <c r="K22">
        <f>VLOOKUP($C22&amp;K$20,Schedule!$F$3:$G$170,2,FALSE)</f>
        <v>106</v>
      </c>
      <c r="L22">
        <f>VLOOKUP($C22&amp;L$20,Schedule!$F$3:$G$170,2,FALSE)</f>
        <v>124</v>
      </c>
      <c r="M22">
        <f>VLOOKUP($C22&amp;M$20,Schedule!$F$3:$G$170,2,FALSE)</f>
        <v>112</v>
      </c>
      <c r="N22">
        <f>VLOOKUP($C22&amp;N$20,Schedule!$F$3:$G$170,2,FALSE)</f>
        <v>0</v>
      </c>
      <c r="O22">
        <f>VLOOKUP($C22&amp;O$20,Schedule!$F$3:$G$170,2,FALSE)</f>
        <v>0</v>
      </c>
      <c r="P22">
        <f>VLOOKUP($C22&amp;P$20,Schedule!$F$3:$G$170,2,FALSE)</f>
        <v>0</v>
      </c>
      <c r="Q22">
        <f>VLOOKUP($C22&amp;Q$20,Schedule!$F$3:$G$170,2,FALSE)</f>
        <v>0</v>
      </c>
      <c r="S22">
        <f>SUMIF(Schedule!$E$3:$E$170,Standings!$C22,Schedule!K$3:K$170)</f>
        <v>3</v>
      </c>
      <c r="T22">
        <f>SUMIF(Schedule!$E$3:$E$170,Standings!$C22,Schedule!L$3:L$170)</f>
        <v>0</v>
      </c>
      <c r="U22">
        <f t="shared" si="15"/>
        <v>116.1</v>
      </c>
      <c r="V22">
        <f t="shared" ref="V22:V32" si="16">MIN(D22:M22)</f>
        <v>88</v>
      </c>
      <c r="W22">
        <f t="shared" ref="W22:W32" si="17">STDEV(D22:M22)</f>
        <v>20.063510272244081</v>
      </c>
    </row>
    <row r="23" spans="2:33" x14ac:dyDescent="0.25">
      <c r="B23" t="s">
        <v>29</v>
      </c>
      <c r="C23" t="s">
        <v>5</v>
      </c>
      <c r="D23">
        <f>VLOOKUP($C23&amp;D$20,Schedule!$F$3:$G$170,2,FALSE)</f>
        <v>136</v>
      </c>
      <c r="E23" s="7">
        <f>VLOOKUP($C23&amp;E$20,Schedule!$F$3:$G$170,2,FALSE)</f>
        <v>93</v>
      </c>
      <c r="F23" s="7">
        <f>VLOOKUP($C23&amp;F$20,Schedule!$F$3:$G$170,2,FALSE)</f>
        <v>131</v>
      </c>
      <c r="G23">
        <f>VLOOKUP($C23&amp;G$20,Schedule!$F$3:$G$170,2,FALSE)</f>
        <v>106</v>
      </c>
      <c r="H23">
        <f>VLOOKUP($C23&amp;H$20,Schedule!$F$3:$G$170,2,FALSE)</f>
        <v>148</v>
      </c>
      <c r="I23">
        <f>VLOOKUP($C23&amp;I$20,Schedule!$F$3:$G$170,2,FALSE)</f>
        <v>119</v>
      </c>
      <c r="J23">
        <f>VLOOKUP($C23&amp;J$20,Schedule!$F$3:$G$170,2,FALSE)</f>
        <v>108</v>
      </c>
      <c r="K23">
        <f>VLOOKUP($C23&amp;K$20,Schedule!$F$3:$G$170,2,FALSE)</f>
        <v>113</v>
      </c>
      <c r="L23">
        <f>VLOOKUP($C23&amp;L$20,Schedule!$F$3:$G$170,2,FALSE)</f>
        <v>75</v>
      </c>
      <c r="M23">
        <f>VLOOKUP($C23&amp;M$20,Schedule!$F$3:$G$170,2,FALSE)</f>
        <v>116</v>
      </c>
      <c r="N23">
        <f>VLOOKUP($C23&amp;N$20,Schedule!$F$3:$G$170,2,FALSE)</f>
        <v>0</v>
      </c>
      <c r="O23">
        <f>VLOOKUP($C23&amp;O$20,Schedule!$F$3:$G$170,2,FALSE)</f>
        <v>0</v>
      </c>
      <c r="P23">
        <f>VLOOKUP($C23&amp;P$20,Schedule!$F$3:$G$170,2,FALSE)</f>
        <v>0</v>
      </c>
      <c r="Q23">
        <f>VLOOKUP($C23&amp;Q$20,Schedule!$F$3:$G$170,2,FALSE)</f>
        <v>0</v>
      </c>
      <c r="S23">
        <f>SUMIF(Schedule!$E$3:$E$170,Standings!$C23,Schedule!K$3:K$170)</f>
        <v>0</v>
      </c>
      <c r="T23">
        <f>SUMIF(Schedule!$E$3:$E$170,Standings!$C23,Schedule!L$3:L$170)</f>
        <v>0</v>
      </c>
      <c r="U23">
        <f t="shared" si="15"/>
        <v>114.5</v>
      </c>
      <c r="V23">
        <f t="shared" si="16"/>
        <v>75</v>
      </c>
      <c r="W23">
        <f t="shared" si="17"/>
        <v>21.130546609115438</v>
      </c>
    </row>
    <row r="24" spans="2:33" x14ac:dyDescent="0.25">
      <c r="B24" t="s">
        <v>34</v>
      </c>
      <c r="C24" t="s">
        <v>10</v>
      </c>
      <c r="D24">
        <f>VLOOKUP($C24&amp;D$20,Schedule!$F$3:$G$170,2,FALSE)</f>
        <v>82</v>
      </c>
      <c r="E24" s="7">
        <f>VLOOKUP($C24&amp;E$20,Schedule!$F$3:$G$170,2,FALSE)</f>
        <v>99</v>
      </c>
      <c r="F24" s="7">
        <f>VLOOKUP($C24&amp;F$20,Schedule!$F$3:$G$170,2,FALSE)</f>
        <v>170</v>
      </c>
      <c r="G24">
        <f>VLOOKUP($C24&amp;G$20,Schedule!$F$3:$G$170,2,FALSE)</f>
        <v>114</v>
      </c>
      <c r="H24">
        <f>VLOOKUP($C24&amp;H$20,Schedule!$F$3:$G$170,2,FALSE)</f>
        <v>129</v>
      </c>
      <c r="I24">
        <f>VLOOKUP($C24&amp;I$20,Schedule!$F$3:$G$170,2,FALSE)</f>
        <v>95</v>
      </c>
      <c r="J24">
        <f>VLOOKUP($C24&amp;J$20,Schedule!$F$3:$G$170,2,FALSE)</f>
        <v>111</v>
      </c>
      <c r="K24">
        <f>VLOOKUP($C24&amp;K$20,Schedule!$F$3:$G$170,2,FALSE)</f>
        <v>109</v>
      </c>
      <c r="L24">
        <f>VLOOKUP($C24&amp;L$20,Schedule!$F$3:$G$170,2,FALSE)</f>
        <v>89</v>
      </c>
      <c r="M24">
        <f>VLOOKUP($C24&amp;M$20,Schedule!$F$3:$G$170,2,FALSE)</f>
        <v>72</v>
      </c>
      <c r="N24">
        <f>VLOOKUP($C24&amp;N$20,Schedule!$F$3:$G$170,2,FALSE)</f>
        <v>0</v>
      </c>
      <c r="O24">
        <f>VLOOKUP($C24&amp;O$20,Schedule!$F$3:$G$170,2,FALSE)</f>
        <v>0</v>
      </c>
      <c r="P24">
        <f>VLOOKUP($C24&amp;P$20,Schedule!$F$3:$G$170,2,FALSE)</f>
        <v>0</v>
      </c>
      <c r="Q24">
        <f>VLOOKUP($C24&amp;Q$20,Schedule!$F$3:$G$170,2,FALSE)</f>
        <v>0</v>
      </c>
      <c r="S24">
        <f>SUMIF(Schedule!$E$3:$E$170,Standings!$C24,Schedule!K$3:K$170)</f>
        <v>1</v>
      </c>
      <c r="T24">
        <f>SUMIF(Schedule!$E$3:$E$170,Standings!$C24,Schedule!L$3:L$170)</f>
        <v>1</v>
      </c>
      <c r="U24">
        <f t="shared" si="15"/>
        <v>107</v>
      </c>
      <c r="V24">
        <f t="shared" si="16"/>
        <v>72</v>
      </c>
      <c r="W24">
        <f t="shared" si="17"/>
        <v>27.696770770454652</v>
      </c>
    </row>
    <row r="25" spans="2:33" x14ac:dyDescent="0.25">
      <c r="B25" t="s">
        <v>28</v>
      </c>
      <c r="C25" t="s">
        <v>4</v>
      </c>
      <c r="D25">
        <f>VLOOKUP($C25&amp;D$20,Schedule!$F$3:$G$170,2,FALSE)</f>
        <v>113</v>
      </c>
      <c r="E25" s="7">
        <f>VLOOKUP($C25&amp;E$20,Schedule!$F$3:$G$170,2,FALSE)</f>
        <v>116</v>
      </c>
      <c r="F25" s="7">
        <f>VLOOKUP($C25&amp;F$20,Schedule!$F$3:$G$170,2,FALSE)</f>
        <v>97</v>
      </c>
      <c r="G25">
        <f>VLOOKUP($C25&amp;G$20,Schedule!$F$3:$G$170,2,FALSE)</f>
        <v>115</v>
      </c>
      <c r="H25">
        <f>VLOOKUP($C25&amp;H$20,Schedule!$F$3:$G$170,2,FALSE)</f>
        <v>141</v>
      </c>
      <c r="I25">
        <f>VLOOKUP($C25&amp;I$20,Schedule!$F$3:$G$170,2,FALSE)</f>
        <v>100</v>
      </c>
      <c r="J25">
        <f>VLOOKUP($C25&amp;J$20,Schedule!$F$3:$G$170,2,FALSE)</f>
        <v>64</v>
      </c>
      <c r="K25">
        <f>VLOOKUP($C25&amp;K$20,Schedule!$F$3:$G$170,2,FALSE)</f>
        <v>101</v>
      </c>
      <c r="L25">
        <f>VLOOKUP($C25&amp;L$20,Schedule!$F$3:$G$170,2,FALSE)</f>
        <v>82</v>
      </c>
      <c r="M25">
        <f>VLOOKUP($C25&amp;M$20,Schedule!$F$3:$G$170,2,FALSE)</f>
        <v>95</v>
      </c>
      <c r="N25">
        <f>VLOOKUP($C25&amp;N$20,Schedule!$F$3:$G$170,2,FALSE)</f>
        <v>0</v>
      </c>
      <c r="O25">
        <f>VLOOKUP($C25&amp;O$20,Schedule!$F$3:$G$170,2,FALSE)</f>
        <v>0</v>
      </c>
      <c r="P25">
        <f>VLOOKUP($C25&amp;P$20,Schedule!$F$3:$G$170,2,FALSE)</f>
        <v>0</v>
      </c>
      <c r="Q25">
        <f>VLOOKUP($C25&amp;Q$20,Schedule!$F$3:$G$170,2,FALSE)</f>
        <v>0</v>
      </c>
      <c r="S25">
        <f>SUMIF(Schedule!$E$3:$E$170,Standings!$C25,Schedule!K$3:K$170)</f>
        <v>0</v>
      </c>
      <c r="T25">
        <f>SUMIF(Schedule!$E$3:$E$170,Standings!$C25,Schedule!L$3:L$170)</f>
        <v>1</v>
      </c>
      <c r="U25">
        <f t="shared" si="15"/>
        <v>102.4</v>
      </c>
      <c r="V25">
        <f t="shared" si="16"/>
        <v>64</v>
      </c>
      <c r="W25">
        <f t="shared" si="17"/>
        <v>20.892316503654836</v>
      </c>
    </row>
    <row r="26" spans="2:33" x14ac:dyDescent="0.25">
      <c r="B26" t="s">
        <v>33</v>
      </c>
      <c r="C26" t="s">
        <v>9</v>
      </c>
      <c r="D26">
        <f>VLOOKUP($C26&amp;D$20,Schedule!$F$3:$G$170,2,FALSE)</f>
        <v>140</v>
      </c>
      <c r="E26" s="7">
        <f>VLOOKUP($C26&amp;E$20,Schedule!$F$3:$G$170,2,FALSE)</f>
        <v>105</v>
      </c>
      <c r="F26" s="7">
        <f>VLOOKUP($C26&amp;F$20,Schedule!$F$3:$G$170,2,FALSE)</f>
        <v>84</v>
      </c>
      <c r="G26">
        <f>VLOOKUP($C26&amp;G$20,Schedule!$F$3:$G$170,2,FALSE)</f>
        <v>130</v>
      </c>
      <c r="H26">
        <f>VLOOKUP($C26&amp;H$20,Schedule!$F$3:$G$170,2,FALSE)</f>
        <v>112</v>
      </c>
      <c r="I26">
        <f>VLOOKUP($C26&amp;I$20,Schedule!$F$3:$G$170,2,FALSE)</f>
        <v>118</v>
      </c>
      <c r="J26">
        <f>VLOOKUP($C26&amp;J$20,Schedule!$F$3:$G$170,2,FALSE)</f>
        <v>86</v>
      </c>
      <c r="K26">
        <f>VLOOKUP($C26&amp;K$20,Schedule!$F$3:$G$170,2,FALSE)</f>
        <v>104</v>
      </c>
      <c r="L26">
        <f>VLOOKUP($C26&amp;L$20,Schedule!$F$3:$G$170,2,FALSE)</f>
        <v>116</v>
      </c>
      <c r="M26">
        <f>VLOOKUP($C26&amp;M$20,Schedule!$F$3:$G$170,2,FALSE)</f>
        <v>114</v>
      </c>
      <c r="N26">
        <f>VLOOKUP($C26&amp;N$20,Schedule!$F$3:$G$170,2,FALSE)</f>
        <v>0</v>
      </c>
      <c r="O26">
        <f>VLOOKUP($C26&amp;O$20,Schedule!$F$3:$G$170,2,FALSE)</f>
        <v>0</v>
      </c>
      <c r="P26">
        <f>VLOOKUP($C26&amp;P$20,Schedule!$F$3:$G$170,2,FALSE)</f>
        <v>0</v>
      </c>
      <c r="Q26">
        <f>VLOOKUP($C26&amp;Q$20,Schedule!$F$3:$G$170,2,FALSE)</f>
        <v>0</v>
      </c>
      <c r="S26">
        <f>SUMIF(Schedule!$E$3:$E$170,Standings!$C26,Schedule!K$3:K$170)</f>
        <v>0</v>
      </c>
      <c r="T26">
        <f>SUMIF(Schedule!$E$3:$E$170,Standings!$C26,Schedule!L$3:L$170)</f>
        <v>1</v>
      </c>
      <c r="U26">
        <f t="shared" si="15"/>
        <v>110.9</v>
      </c>
      <c r="V26">
        <f t="shared" si="16"/>
        <v>84</v>
      </c>
      <c r="W26">
        <f t="shared" si="17"/>
        <v>17.400191569826639</v>
      </c>
    </row>
    <row r="27" spans="2:33" x14ac:dyDescent="0.25">
      <c r="B27" t="s">
        <v>32</v>
      </c>
      <c r="C27" t="s">
        <v>8</v>
      </c>
      <c r="D27">
        <f>VLOOKUP($C27&amp;D$20,Schedule!$F$3:$G$170,2,FALSE)</f>
        <v>138</v>
      </c>
      <c r="E27" s="7">
        <f>VLOOKUP($C27&amp;E$20,Schedule!$F$3:$G$170,2,FALSE)</f>
        <v>120</v>
      </c>
      <c r="F27" s="7">
        <f>VLOOKUP($C27&amp;F$20,Schedule!$F$3:$G$170,2,FALSE)</f>
        <v>102</v>
      </c>
      <c r="G27">
        <f>VLOOKUP($C27&amp;G$20,Schedule!$F$3:$G$170,2,FALSE)</f>
        <v>79</v>
      </c>
      <c r="H27">
        <f>VLOOKUP($C27&amp;H$20,Schedule!$F$3:$G$170,2,FALSE)</f>
        <v>94</v>
      </c>
      <c r="I27">
        <f>VLOOKUP($C27&amp;I$20,Schedule!$F$3:$G$170,2,FALSE)</f>
        <v>125</v>
      </c>
      <c r="J27">
        <f>VLOOKUP($C27&amp;J$20,Schedule!$F$3:$G$170,2,FALSE)</f>
        <v>101</v>
      </c>
      <c r="K27">
        <f>VLOOKUP($C27&amp;K$20,Schedule!$F$3:$G$170,2,FALSE)</f>
        <v>100</v>
      </c>
      <c r="L27">
        <f>VLOOKUP($C27&amp;L$20,Schedule!$F$3:$G$170,2,FALSE)</f>
        <v>97</v>
      </c>
      <c r="M27">
        <f>VLOOKUP($C27&amp;M$20,Schedule!$F$3:$G$170,2,FALSE)</f>
        <v>95</v>
      </c>
      <c r="N27">
        <f>VLOOKUP($C27&amp;N$20,Schedule!$F$3:$G$170,2,FALSE)</f>
        <v>0</v>
      </c>
      <c r="O27">
        <f>VLOOKUP($C27&amp;O$20,Schedule!$F$3:$G$170,2,FALSE)</f>
        <v>0</v>
      </c>
      <c r="P27">
        <f>VLOOKUP($C27&amp;P$20,Schedule!$F$3:$G$170,2,FALSE)</f>
        <v>0</v>
      </c>
      <c r="Q27">
        <f>VLOOKUP($C27&amp;Q$20,Schedule!$F$3:$G$170,2,FALSE)</f>
        <v>0</v>
      </c>
      <c r="S27">
        <f>SUMIF(Schedule!$E$3:$E$170,Standings!$C27,Schedule!K$3:K$170)</f>
        <v>0</v>
      </c>
      <c r="T27">
        <f>SUMIF(Schedule!$E$3:$E$170,Standings!$C27,Schedule!L$3:L$170)</f>
        <v>2</v>
      </c>
      <c r="U27">
        <f t="shared" si="15"/>
        <v>105.1</v>
      </c>
      <c r="V27">
        <f t="shared" si="16"/>
        <v>79</v>
      </c>
      <c r="W27">
        <f t="shared" si="17"/>
        <v>17.400191569826639</v>
      </c>
    </row>
    <row r="28" spans="2:33" x14ac:dyDescent="0.25">
      <c r="B28" t="s">
        <v>30</v>
      </c>
      <c r="C28" t="s">
        <v>6</v>
      </c>
      <c r="D28">
        <f>VLOOKUP($C28&amp;D$20,Schedule!$F$3:$G$170,2,FALSE)</f>
        <v>102</v>
      </c>
      <c r="E28" s="7">
        <f>VLOOKUP($C28&amp;E$20,Schedule!$F$3:$G$170,2,FALSE)</f>
        <v>129</v>
      </c>
      <c r="F28" s="7">
        <f>VLOOKUP($C28&amp;F$20,Schedule!$F$3:$G$170,2,FALSE)</f>
        <v>137</v>
      </c>
      <c r="G28">
        <f>VLOOKUP($C28&amp;G$20,Schedule!$F$3:$G$170,2,FALSE)</f>
        <v>113</v>
      </c>
      <c r="H28">
        <f>VLOOKUP($C28&amp;H$20,Schedule!$F$3:$G$170,2,FALSE)</f>
        <v>103</v>
      </c>
      <c r="I28">
        <f>VLOOKUP($C28&amp;I$20,Schedule!$F$3:$G$170,2,FALSE)</f>
        <v>118</v>
      </c>
      <c r="J28">
        <f>VLOOKUP($C28&amp;J$20,Schedule!$F$3:$G$170,2,FALSE)</f>
        <v>110</v>
      </c>
      <c r="K28">
        <f>VLOOKUP($C28&amp;K$20,Schedule!$F$3:$G$170,2,FALSE)</f>
        <v>119</v>
      </c>
      <c r="L28">
        <f>VLOOKUP($C28&amp;L$20,Schedule!$F$3:$G$170,2,FALSE)</f>
        <v>78</v>
      </c>
      <c r="M28">
        <f>VLOOKUP($C28&amp;M$20,Schedule!$F$3:$G$170,2,FALSE)</f>
        <v>49</v>
      </c>
      <c r="N28">
        <f>VLOOKUP($C28&amp;N$20,Schedule!$F$3:$G$170,2,FALSE)</f>
        <v>0</v>
      </c>
      <c r="O28">
        <f>VLOOKUP($C28&amp;O$20,Schedule!$F$3:$G$170,2,FALSE)</f>
        <v>0</v>
      </c>
      <c r="P28">
        <f>VLOOKUP($C28&amp;P$20,Schedule!$F$3:$G$170,2,FALSE)</f>
        <v>0</v>
      </c>
      <c r="Q28">
        <f>VLOOKUP($C28&amp;Q$20,Schedule!$F$3:$G$170,2,FALSE)</f>
        <v>0</v>
      </c>
      <c r="S28">
        <f>SUMIF(Schedule!$E$3:$E$170,Standings!$C28,Schedule!K$3:K$170)</f>
        <v>0</v>
      </c>
      <c r="T28">
        <f>SUMIF(Schedule!$E$3:$E$170,Standings!$C28,Schedule!L$3:L$170)</f>
        <v>0</v>
      </c>
      <c r="U28">
        <f t="shared" si="15"/>
        <v>105.8</v>
      </c>
      <c r="V28">
        <f t="shared" si="16"/>
        <v>49</v>
      </c>
      <c r="W28">
        <f t="shared" si="17"/>
        <v>25.659306303951411</v>
      </c>
    </row>
    <row r="29" spans="2:33" x14ac:dyDescent="0.25">
      <c r="B29" t="s">
        <v>35</v>
      </c>
      <c r="C29" t="s">
        <v>11</v>
      </c>
      <c r="D29">
        <f>VLOOKUP($C29&amp;D$20,Schedule!$F$3:$G$170,2,FALSE)</f>
        <v>104</v>
      </c>
      <c r="E29" s="7">
        <f>VLOOKUP($C29&amp;E$20,Schedule!$F$3:$G$170,2,FALSE)</f>
        <v>137</v>
      </c>
      <c r="F29" s="7">
        <f>VLOOKUP($C29&amp;F$20,Schedule!$F$3:$G$170,2,FALSE)</f>
        <v>86</v>
      </c>
      <c r="G29">
        <f>VLOOKUP($C29&amp;G$20,Schedule!$F$3:$G$170,2,FALSE)</f>
        <v>79</v>
      </c>
      <c r="H29">
        <f>VLOOKUP($C29&amp;H$20,Schedule!$F$3:$G$170,2,FALSE)</f>
        <v>137</v>
      </c>
      <c r="I29">
        <f>VLOOKUP($C29&amp;I$20,Schedule!$F$3:$G$170,2,FALSE)</f>
        <v>114</v>
      </c>
      <c r="J29">
        <f>VLOOKUP($C29&amp;J$20,Schedule!$F$3:$G$170,2,FALSE)</f>
        <v>115</v>
      </c>
      <c r="K29">
        <f>VLOOKUP($C29&amp;K$20,Schedule!$F$3:$G$170,2,FALSE)</f>
        <v>104</v>
      </c>
      <c r="L29">
        <f>VLOOKUP($C29&amp;L$20,Schedule!$F$3:$G$170,2,FALSE)</f>
        <v>118</v>
      </c>
      <c r="M29">
        <f>VLOOKUP($C29&amp;M$20,Schedule!$F$3:$G$170,2,FALSE)</f>
        <v>98</v>
      </c>
      <c r="N29">
        <f>VLOOKUP($C29&amp;N$20,Schedule!$F$3:$G$170,2,FALSE)</f>
        <v>0</v>
      </c>
      <c r="O29">
        <f>VLOOKUP($C29&amp;O$20,Schedule!$F$3:$G$170,2,FALSE)</f>
        <v>0</v>
      </c>
      <c r="P29">
        <f>VLOOKUP($C29&amp;P$20,Schedule!$F$3:$G$170,2,FALSE)</f>
        <v>0</v>
      </c>
      <c r="Q29">
        <f>VLOOKUP($C29&amp;Q$20,Schedule!$F$3:$G$170,2,FALSE)</f>
        <v>0</v>
      </c>
      <c r="S29">
        <f>SUMIF(Schedule!$E$3:$E$170,Standings!$C29,Schedule!K$3:K$170)</f>
        <v>0</v>
      </c>
      <c r="T29">
        <f>SUMIF(Schedule!$E$3:$E$170,Standings!$C29,Schedule!L$3:L$170)</f>
        <v>1</v>
      </c>
      <c r="U29">
        <f t="shared" si="15"/>
        <v>109.2</v>
      </c>
      <c r="V29">
        <f t="shared" si="16"/>
        <v>79</v>
      </c>
      <c r="W29">
        <f t="shared" si="17"/>
        <v>19.176374353180893</v>
      </c>
    </row>
    <row r="30" spans="2:33" x14ac:dyDescent="0.25">
      <c r="B30" t="s">
        <v>26</v>
      </c>
      <c r="C30" t="s">
        <v>2</v>
      </c>
      <c r="D30">
        <f>VLOOKUP($C30&amp;D$20,Schedule!$F$3:$G$170,2,FALSE)</f>
        <v>101</v>
      </c>
      <c r="E30" s="7">
        <f>VLOOKUP($C30&amp;E$20,Schedule!$F$3:$G$170,2,FALSE)</f>
        <v>83</v>
      </c>
      <c r="F30" s="7">
        <f>VLOOKUP($C30&amp;F$20,Schedule!$F$3:$G$170,2,FALSE)</f>
        <v>85</v>
      </c>
      <c r="G30">
        <f>VLOOKUP($C30&amp;G$20,Schedule!$F$3:$G$170,2,FALSE)</f>
        <v>108</v>
      </c>
      <c r="H30">
        <f>VLOOKUP($C30&amp;H$20,Schedule!$F$3:$G$170,2,FALSE)</f>
        <v>109</v>
      </c>
      <c r="I30">
        <f>VLOOKUP($C30&amp;I$20,Schedule!$F$3:$G$170,2,FALSE)</f>
        <v>66</v>
      </c>
      <c r="J30">
        <f>VLOOKUP($C30&amp;J$20,Schedule!$F$3:$G$170,2,FALSE)</f>
        <v>120</v>
      </c>
      <c r="K30">
        <f>VLOOKUP($C30&amp;K$20,Schedule!$F$3:$G$170,2,FALSE)</f>
        <v>118</v>
      </c>
      <c r="L30">
        <f>VLOOKUP($C30&amp;L$20,Schedule!$F$3:$G$170,2,FALSE)</f>
        <v>83</v>
      </c>
      <c r="M30">
        <f>VLOOKUP($C30&amp;M$20,Schedule!$F$3:$G$170,2,FALSE)</f>
        <v>79</v>
      </c>
      <c r="N30">
        <f>VLOOKUP($C30&amp;N$20,Schedule!$F$3:$G$170,2,FALSE)</f>
        <v>0</v>
      </c>
      <c r="O30">
        <f>VLOOKUP($C30&amp;O$20,Schedule!$F$3:$G$170,2,FALSE)</f>
        <v>0</v>
      </c>
      <c r="P30">
        <f>VLOOKUP($C30&amp;P$20,Schedule!$F$3:$G$170,2,FALSE)</f>
        <v>0</v>
      </c>
      <c r="Q30">
        <f>VLOOKUP($C30&amp;Q$20,Schedule!$F$3:$G$170,2,FALSE)</f>
        <v>0</v>
      </c>
      <c r="S30">
        <f>SUMIF(Schedule!$E$3:$E$170,Standings!$C30,Schedule!K$3:K$170)</f>
        <v>0</v>
      </c>
      <c r="T30">
        <f>SUMIF(Schedule!$E$3:$E$170,Standings!$C30,Schedule!L$3:L$170)</f>
        <v>1</v>
      </c>
      <c r="U30">
        <f t="shared" si="15"/>
        <v>95.2</v>
      </c>
      <c r="V30">
        <f t="shared" si="16"/>
        <v>66</v>
      </c>
      <c r="W30">
        <f t="shared" si="17"/>
        <v>18.377522502593596</v>
      </c>
    </row>
    <row r="31" spans="2:33" x14ac:dyDescent="0.25">
      <c r="B31" t="s">
        <v>25</v>
      </c>
      <c r="C31" t="s">
        <v>1</v>
      </c>
      <c r="D31">
        <f>VLOOKUP($C31&amp;D$20,Schedule!$F$3:$G$170,2,FALSE)</f>
        <v>119</v>
      </c>
      <c r="E31" s="7">
        <f>VLOOKUP($C31&amp;E$20,Schedule!$F$3:$G$170,2,FALSE)</f>
        <v>75</v>
      </c>
      <c r="F31" s="7">
        <f>VLOOKUP($C31&amp;F$20,Schedule!$F$3:$G$170,2,FALSE)</f>
        <v>102</v>
      </c>
      <c r="G31">
        <f>VLOOKUP($C31&amp;G$20,Schedule!$F$3:$G$170,2,FALSE)</f>
        <v>93</v>
      </c>
      <c r="H31">
        <f>VLOOKUP($C31&amp;H$20,Schedule!$F$3:$G$170,2,FALSE)</f>
        <v>138</v>
      </c>
      <c r="I31">
        <f>VLOOKUP($C31&amp;I$20,Schedule!$F$3:$G$170,2,FALSE)</f>
        <v>132</v>
      </c>
      <c r="J31">
        <f>VLOOKUP($C31&amp;J$20,Schedule!$F$3:$G$170,2,FALSE)</f>
        <v>97</v>
      </c>
      <c r="K31">
        <f>VLOOKUP($C31&amp;K$20,Schedule!$F$3:$G$170,2,FALSE)</f>
        <v>123</v>
      </c>
      <c r="L31">
        <f>VLOOKUP($C31&amp;L$20,Schedule!$F$3:$G$170,2,FALSE)</f>
        <v>63</v>
      </c>
      <c r="M31">
        <f>VLOOKUP($C31&amp;M$20,Schedule!$F$3:$G$170,2,FALSE)</f>
        <v>96</v>
      </c>
      <c r="N31">
        <f>VLOOKUP($C31&amp;N$20,Schedule!$F$3:$G$170,2,FALSE)</f>
        <v>0</v>
      </c>
      <c r="O31">
        <f>VLOOKUP($C31&amp;O$20,Schedule!$F$3:$G$170,2,FALSE)</f>
        <v>0</v>
      </c>
      <c r="P31">
        <f>VLOOKUP($C31&amp;P$20,Schedule!$F$3:$G$170,2,FALSE)</f>
        <v>0</v>
      </c>
      <c r="Q31">
        <f>VLOOKUP($C31&amp;Q$20,Schedule!$F$3:$G$170,2,FALSE)</f>
        <v>0</v>
      </c>
      <c r="S31">
        <f>SUMIF(Schedule!$E$3:$E$170,Standings!$C31,Schedule!K$3:K$170)</f>
        <v>1</v>
      </c>
      <c r="T31">
        <f>SUMIF(Schedule!$E$3:$E$170,Standings!$C31,Schedule!L$3:L$170)</f>
        <v>2</v>
      </c>
      <c r="U31">
        <f t="shared" si="15"/>
        <v>103.8</v>
      </c>
      <c r="V31">
        <f t="shared" si="16"/>
        <v>63</v>
      </c>
      <c r="W31">
        <f t="shared" si="17"/>
        <v>24.234044006085522</v>
      </c>
    </row>
    <row r="32" spans="2:33" x14ac:dyDescent="0.25">
      <c r="B32" t="s">
        <v>27</v>
      </c>
      <c r="C32" t="s">
        <v>3</v>
      </c>
      <c r="D32">
        <f>VLOOKUP($C32&amp;D$20,Schedule!$F$3:$G$170,2,FALSE)</f>
        <v>86</v>
      </c>
      <c r="E32" s="7">
        <f>VLOOKUP($C32&amp;E$20,Schedule!$F$3:$G$170,2,FALSE)</f>
        <v>110</v>
      </c>
      <c r="F32" s="7">
        <f>VLOOKUP($C32&amp;F$20,Schedule!$F$3:$G$170,2,FALSE)</f>
        <v>126</v>
      </c>
      <c r="G32">
        <f>VLOOKUP($C32&amp;G$20,Schedule!$F$3:$G$170,2,FALSE)</f>
        <v>128</v>
      </c>
      <c r="H32">
        <f>VLOOKUP($C32&amp;H$20,Schedule!$F$3:$G$170,2,FALSE)</f>
        <v>122</v>
      </c>
      <c r="I32">
        <f>VLOOKUP($C32&amp;I$20,Schedule!$F$3:$G$170,2,FALSE)</f>
        <v>142</v>
      </c>
      <c r="J32">
        <f>VLOOKUP($C32&amp;J$20,Schedule!$F$3:$G$170,2,FALSE)</f>
        <v>104</v>
      </c>
      <c r="K32">
        <f>VLOOKUP($C32&amp;K$20,Schedule!$F$3:$G$170,2,FALSE)</f>
        <v>62</v>
      </c>
      <c r="L32">
        <f>VLOOKUP($C32&amp;L$20,Schedule!$F$3:$G$170,2,FALSE)</f>
        <v>77</v>
      </c>
      <c r="M32">
        <f>VLOOKUP($C32&amp;M$20,Schedule!$F$3:$G$170,2,FALSE)</f>
        <v>36</v>
      </c>
      <c r="N32">
        <f>VLOOKUP($C32&amp;N$20,Schedule!$F$3:$G$170,2,FALSE)</f>
        <v>0</v>
      </c>
      <c r="O32">
        <f>VLOOKUP($C32&amp;O$20,Schedule!$F$3:$G$170,2,FALSE)</f>
        <v>0</v>
      </c>
      <c r="P32">
        <f>VLOOKUP($C32&amp;P$20,Schedule!$F$3:$G$170,2,FALSE)</f>
        <v>0</v>
      </c>
      <c r="Q32">
        <f>VLOOKUP($C32&amp;Q$20,Schedule!$F$3:$G$170,2,FALSE)</f>
        <v>0</v>
      </c>
      <c r="S32">
        <f>SUMIF(Schedule!$E$3:$E$170,Standings!$C32,Schedule!K$3:K$170)</f>
        <v>1</v>
      </c>
      <c r="T32">
        <f>SUMIF(Schedule!$E$3:$E$170,Standings!$C32,Schedule!L$3:L$170)</f>
        <v>2</v>
      </c>
      <c r="U32">
        <f t="shared" si="15"/>
        <v>99.3</v>
      </c>
      <c r="V32">
        <f t="shared" si="16"/>
        <v>36</v>
      </c>
      <c r="W32">
        <f t="shared" si="17"/>
        <v>33.473206532323076</v>
      </c>
    </row>
    <row r="38" spans="1:103" x14ac:dyDescent="0.25">
      <c r="A38" s="7" t="s">
        <v>77</v>
      </c>
      <c r="B38" s="7" t="s">
        <v>78</v>
      </c>
      <c r="C38" s="8" t="s">
        <v>37</v>
      </c>
      <c r="D38" s="8">
        <v>1</v>
      </c>
      <c r="E38" s="10">
        <v>2</v>
      </c>
      <c r="F38" s="10">
        <v>3</v>
      </c>
      <c r="G38" s="8">
        <v>4</v>
      </c>
      <c r="H38" s="8">
        <v>5</v>
      </c>
      <c r="I38" s="8">
        <v>6</v>
      </c>
      <c r="J38" s="8">
        <v>7</v>
      </c>
      <c r="K38" s="8">
        <v>8</v>
      </c>
      <c r="L38" s="8">
        <v>9</v>
      </c>
      <c r="M38" s="8">
        <v>10</v>
      </c>
      <c r="N38" s="8">
        <v>11</v>
      </c>
      <c r="O38" s="8">
        <v>12</v>
      </c>
      <c r="P38" s="8">
        <v>13</v>
      </c>
      <c r="Q38" s="8">
        <v>14</v>
      </c>
      <c r="R38" s="8">
        <v>15</v>
      </c>
      <c r="S38" s="8">
        <v>16</v>
      </c>
      <c r="T38" s="8">
        <v>17</v>
      </c>
      <c r="U38" s="8">
        <v>18</v>
      </c>
      <c r="V38" s="8">
        <v>19</v>
      </c>
      <c r="W38" s="8">
        <v>20</v>
      </c>
      <c r="X38" s="8">
        <v>21</v>
      </c>
      <c r="Y38" s="8">
        <v>22</v>
      </c>
      <c r="Z38" s="8">
        <v>23</v>
      </c>
      <c r="AA38" s="8">
        <v>24</v>
      </c>
      <c r="AB38" s="8">
        <v>25</v>
      </c>
      <c r="AC38" s="8">
        <v>26</v>
      </c>
      <c r="AD38" s="8">
        <v>27</v>
      </c>
      <c r="AE38" s="8">
        <v>28</v>
      </c>
      <c r="AF38" s="8">
        <v>29</v>
      </c>
      <c r="AG38" s="8">
        <v>30</v>
      </c>
      <c r="AH38" s="8">
        <v>31</v>
      </c>
      <c r="AI38" s="8">
        <v>32</v>
      </c>
      <c r="AJ38" s="8">
        <v>33</v>
      </c>
      <c r="AK38" s="8">
        <v>34</v>
      </c>
      <c r="AL38" s="8">
        <v>35</v>
      </c>
      <c r="AM38" s="8">
        <v>36</v>
      </c>
      <c r="AN38" s="8">
        <v>37</v>
      </c>
      <c r="AO38" s="8">
        <v>38</v>
      </c>
      <c r="AP38" s="8">
        <v>39</v>
      </c>
      <c r="AQ38" s="8">
        <v>40</v>
      </c>
      <c r="AR38" s="8">
        <v>41</v>
      </c>
      <c r="AS38" s="8">
        <v>42</v>
      </c>
      <c r="AT38" s="8">
        <v>43</v>
      </c>
      <c r="AU38" s="8">
        <v>44</v>
      </c>
      <c r="AV38" s="8">
        <v>45</v>
      </c>
      <c r="AW38" s="8">
        <v>46</v>
      </c>
      <c r="AX38" s="8">
        <v>47</v>
      </c>
      <c r="AY38" s="8">
        <v>48</v>
      </c>
      <c r="AZ38" s="8">
        <v>49</v>
      </c>
      <c r="BA38" s="8">
        <v>50</v>
      </c>
      <c r="BB38" s="8">
        <v>51</v>
      </c>
      <c r="BC38" s="8">
        <v>52</v>
      </c>
      <c r="BD38" s="8">
        <v>53</v>
      </c>
      <c r="BE38" s="8">
        <v>54</v>
      </c>
      <c r="BF38" s="8">
        <v>55</v>
      </c>
      <c r="BG38" s="8">
        <v>56</v>
      </c>
      <c r="BH38" s="8">
        <v>57</v>
      </c>
      <c r="BI38" s="8">
        <v>58</v>
      </c>
      <c r="BJ38" s="8">
        <v>59</v>
      </c>
      <c r="BK38" s="8">
        <v>60</v>
      </c>
      <c r="BL38" s="8">
        <v>61</v>
      </c>
      <c r="BM38" s="8">
        <v>62</v>
      </c>
      <c r="BN38" s="8">
        <v>63</v>
      </c>
      <c r="BO38" s="8">
        <v>64</v>
      </c>
      <c r="BP38" s="8">
        <v>65</v>
      </c>
      <c r="BQ38" s="8">
        <v>66</v>
      </c>
      <c r="BR38" s="8">
        <v>67</v>
      </c>
      <c r="BS38" s="8">
        <v>68</v>
      </c>
      <c r="BT38" s="8">
        <v>69</v>
      </c>
      <c r="BU38" s="8">
        <v>70</v>
      </c>
      <c r="BV38" s="8">
        <v>71</v>
      </c>
      <c r="BW38" s="8">
        <v>72</v>
      </c>
      <c r="BX38" s="8">
        <v>73</v>
      </c>
      <c r="BY38" s="8">
        <v>74</v>
      </c>
      <c r="BZ38" s="8">
        <v>75</v>
      </c>
      <c r="CA38" s="8">
        <v>76</v>
      </c>
      <c r="CB38" s="8">
        <v>77</v>
      </c>
      <c r="CC38" s="8">
        <v>78</v>
      </c>
      <c r="CD38" s="8">
        <v>79</v>
      </c>
      <c r="CE38" s="8">
        <v>80</v>
      </c>
      <c r="CF38" s="8">
        <v>81</v>
      </c>
      <c r="CG38" s="8">
        <v>82</v>
      </c>
      <c r="CH38" s="8">
        <v>83</v>
      </c>
      <c r="CI38" s="8">
        <v>84</v>
      </c>
      <c r="CJ38" s="8">
        <v>85</v>
      </c>
      <c r="CK38" s="8">
        <v>86</v>
      </c>
      <c r="CL38" s="8">
        <v>87</v>
      </c>
      <c r="CM38" s="8">
        <v>88</v>
      </c>
      <c r="CN38" s="8">
        <v>89</v>
      </c>
      <c r="CO38" s="8">
        <v>90</v>
      </c>
      <c r="CP38" s="8">
        <v>91</v>
      </c>
      <c r="CQ38" s="8">
        <v>92</v>
      </c>
      <c r="CR38" s="8">
        <v>93</v>
      </c>
      <c r="CS38" s="8">
        <v>94</v>
      </c>
      <c r="CT38" s="8">
        <v>95</v>
      </c>
      <c r="CU38" s="8">
        <v>96</v>
      </c>
      <c r="CV38" s="8">
        <v>97</v>
      </c>
      <c r="CW38" s="8">
        <v>98</v>
      </c>
      <c r="CX38" s="8">
        <v>99</v>
      </c>
      <c r="CY38" s="8">
        <v>100</v>
      </c>
    </row>
    <row r="39" spans="1:103" x14ac:dyDescent="0.25">
      <c r="A39" s="7">
        <f>COUNTIF(D39:ALO39,"&lt;=6")</f>
        <v>100</v>
      </c>
      <c r="B39" s="7">
        <f>COUNTIF(D39:ALO39,"&lt;=2")</f>
        <v>100</v>
      </c>
      <c r="C39" t="s">
        <v>7</v>
      </c>
      <c r="D39">
        <v>1</v>
      </c>
      <c r="E39" s="7">
        <v>1</v>
      </c>
      <c r="F39" s="7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1</v>
      </c>
      <c r="BY39">
        <v>1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1</v>
      </c>
      <c r="CJ39">
        <v>1</v>
      </c>
      <c r="CK39">
        <v>1</v>
      </c>
      <c r="CL39">
        <v>1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1</v>
      </c>
      <c r="CV39">
        <v>1</v>
      </c>
      <c r="CW39">
        <v>1</v>
      </c>
      <c r="CX39">
        <v>1</v>
      </c>
      <c r="CY39">
        <v>1</v>
      </c>
    </row>
    <row r="40" spans="1:103" x14ac:dyDescent="0.25">
      <c r="A40" s="7">
        <f t="shared" ref="A40:A50" si="18">COUNTIF(D40:ALO40,"&lt;=6")</f>
        <v>98</v>
      </c>
      <c r="B40" s="7">
        <f t="shared" ref="B40:B50" si="19">COUNTIF(D40:ALO40,"&lt;=2")</f>
        <v>46</v>
      </c>
      <c r="C40" t="s">
        <v>0</v>
      </c>
      <c r="D40">
        <v>3</v>
      </c>
      <c r="E40" s="7">
        <v>2</v>
      </c>
      <c r="F40" s="7">
        <v>6</v>
      </c>
      <c r="G40">
        <v>2</v>
      </c>
      <c r="H40">
        <v>3</v>
      </c>
      <c r="I40">
        <v>3</v>
      </c>
      <c r="J40">
        <v>4</v>
      </c>
      <c r="K40">
        <v>2</v>
      </c>
      <c r="L40">
        <v>4</v>
      </c>
      <c r="M40">
        <v>3</v>
      </c>
      <c r="N40">
        <v>5</v>
      </c>
      <c r="O40">
        <v>2</v>
      </c>
      <c r="P40">
        <v>3</v>
      </c>
      <c r="Q40">
        <v>2</v>
      </c>
      <c r="R40">
        <v>2</v>
      </c>
      <c r="S40">
        <v>6</v>
      </c>
      <c r="T40">
        <v>5</v>
      </c>
      <c r="U40">
        <v>3</v>
      </c>
      <c r="V40">
        <v>3</v>
      </c>
      <c r="W40">
        <v>3</v>
      </c>
      <c r="X40">
        <v>2</v>
      </c>
      <c r="Y40">
        <v>3</v>
      </c>
      <c r="Z40">
        <v>2</v>
      </c>
      <c r="AA40">
        <v>3</v>
      </c>
      <c r="AB40">
        <v>6</v>
      </c>
      <c r="AC40">
        <v>5</v>
      </c>
      <c r="AD40">
        <v>2</v>
      </c>
      <c r="AE40">
        <v>3</v>
      </c>
      <c r="AF40">
        <v>2</v>
      </c>
      <c r="AG40">
        <v>2</v>
      </c>
      <c r="AH40">
        <v>2</v>
      </c>
      <c r="AI40">
        <v>2</v>
      </c>
      <c r="AJ40">
        <v>3</v>
      </c>
      <c r="AK40">
        <v>2</v>
      </c>
      <c r="AL40">
        <v>3</v>
      </c>
      <c r="AM40">
        <v>2</v>
      </c>
      <c r="AN40">
        <v>2</v>
      </c>
      <c r="AO40">
        <v>2</v>
      </c>
      <c r="AP40">
        <v>5</v>
      </c>
      <c r="AQ40">
        <v>7</v>
      </c>
      <c r="AR40">
        <v>4</v>
      </c>
      <c r="AS40">
        <v>2</v>
      </c>
      <c r="AT40">
        <v>4</v>
      </c>
      <c r="AU40">
        <v>6</v>
      </c>
      <c r="AV40">
        <v>2</v>
      </c>
      <c r="AW40">
        <v>5</v>
      </c>
      <c r="AX40">
        <v>5</v>
      </c>
      <c r="AY40">
        <v>2</v>
      </c>
      <c r="AZ40">
        <v>2</v>
      </c>
      <c r="BA40">
        <v>5</v>
      </c>
      <c r="BB40">
        <v>2</v>
      </c>
      <c r="BC40">
        <v>2</v>
      </c>
      <c r="BD40">
        <v>2</v>
      </c>
      <c r="BE40">
        <v>8</v>
      </c>
      <c r="BF40">
        <v>2</v>
      </c>
      <c r="BG40">
        <v>4</v>
      </c>
      <c r="BH40">
        <v>5</v>
      </c>
      <c r="BI40">
        <v>3</v>
      </c>
      <c r="BJ40">
        <v>2</v>
      </c>
      <c r="BK40">
        <v>4</v>
      </c>
      <c r="BL40">
        <v>2</v>
      </c>
      <c r="BM40">
        <v>3</v>
      </c>
      <c r="BN40">
        <v>2</v>
      </c>
      <c r="BO40">
        <v>3</v>
      </c>
      <c r="BP40">
        <v>3</v>
      </c>
      <c r="BQ40">
        <v>3</v>
      </c>
      <c r="BR40">
        <v>2</v>
      </c>
      <c r="BS40">
        <v>4</v>
      </c>
      <c r="BT40">
        <v>2</v>
      </c>
      <c r="BU40">
        <v>4</v>
      </c>
      <c r="BV40">
        <v>2</v>
      </c>
      <c r="BW40">
        <v>2</v>
      </c>
      <c r="BX40">
        <v>2</v>
      </c>
      <c r="BY40">
        <v>2</v>
      </c>
      <c r="BZ40">
        <v>3</v>
      </c>
      <c r="CA40">
        <v>5</v>
      </c>
      <c r="CB40">
        <v>3</v>
      </c>
      <c r="CC40">
        <v>2</v>
      </c>
      <c r="CD40">
        <v>6</v>
      </c>
      <c r="CE40">
        <v>2</v>
      </c>
      <c r="CF40">
        <v>4</v>
      </c>
      <c r="CG40">
        <v>2</v>
      </c>
      <c r="CH40">
        <v>2</v>
      </c>
      <c r="CI40">
        <v>3</v>
      </c>
      <c r="CJ40">
        <v>5</v>
      </c>
      <c r="CK40">
        <v>2</v>
      </c>
      <c r="CL40">
        <v>6</v>
      </c>
      <c r="CM40">
        <v>2</v>
      </c>
      <c r="CN40">
        <v>2</v>
      </c>
      <c r="CO40">
        <v>3</v>
      </c>
      <c r="CP40">
        <v>5</v>
      </c>
      <c r="CQ40">
        <v>2</v>
      </c>
      <c r="CR40">
        <v>2</v>
      </c>
      <c r="CS40">
        <v>2</v>
      </c>
      <c r="CT40">
        <v>3</v>
      </c>
      <c r="CU40">
        <v>5</v>
      </c>
      <c r="CV40">
        <v>2</v>
      </c>
      <c r="CW40">
        <v>5</v>
      </c>
      <c r="CX40">
        <v>2</v>
      </c>
      <c r="CY40">
        <v>3</v>
      </c>
    </row>
    <row r="41" spans="1:103" x14ac:dyDescent="0.25">
      <c r="A41" s="7">
        <f t="shared" si="18"/>
        <v>88</v>
      </c>
      <c r="B41" s="7">
        <f t="shared" si="19"/>
        <v>29</v>
      </c>
      <c r="C41" t="s">
        <v>5</v>
      </c>
      <c r="D41">
        <v>5</v>
      </c>
      <c r="E41" s="7">
        <v>4</v>
      </c>
      <c r="F41" s="7">
        <v>3</v>
      </c>
      <c r="G41">
        <v>4</v>
      </c>
      <c r="H41">
        <v>2</v>
      </c>
      <c r="I41">
        <v>7</v>
      </c>
      <c r="J41">
        <v>5</v>
      </c>
      <c r="K41">
        <v>3</v>
      </c>
      <c r="L41">
        <v>5</v>
      </c>
      <c r="M41">
        <v>2</v>
      </c>
      <c r="N41">
        <v>2</v>
      </c>
      <c r="O41">
        <v>4</v>
      </c>
      <c r="P41">
        <v>4</v>
      </c>
      <c r="Q41">
        <v>3</v>
      </c>
      <c r="R41">
        <v>5</v>
      </c>
      <c r="S41">
        <v>2</v>
      </c>
      <c r="T41">
        <v>4</v>
      </c>
      <c r="U41">
        <v>5</v>
      </c>
      <c r="V41">
        <v>5</v>
      </c>
      <c r="W41">
        <v>4</v>
      </c>
      <c r="X41">
        <v>4</v>
      </c>
      <c r="Y41">
        <v>2</v>
      </c>
      <c r="Z41">
        <v>4</v>
      </c>
      <c r="AA41">
        <v>2</v>
      </c>
      <c r="AB41">
        <v>8</v>
      </c>
      <c r="AC41">
        <v>2</v>
      </c>
      <c r="AD41">
        <v>4</v>
      </c>
      <c r="AE41">
        <v>2</v>
      </c>
      <c r="AF41">
        <v>8</v>
      </c>
      <c r="AG41">
        <v>3</v>
      </c>
      <c r="AH41">
        <v>3</v>
      </c>
      <c r="AI41">
        <v>3</v>
      </c>
      <c r="AJ41">
        <v>2</v>
      </c>
      <c r="AK41">
        <v>3</v>
      </c>
      <c r="AL41">
        <v>2</v>
      </c>
      <c r="AM41">
        <v>3</v>
      </c>
      <c r="AN41">
        <v>3</v>
      </c>
      <c r="AO41">
        <v>8</v>
      </c>
      <c r="AP41">
        <v>2</v>
      </c>
      <c r="AQ41">
        <v>2</v>
      </c>
      <c r="AR41">
        <v>2</v>
      </c>
      <c r="AS41">
        <v>6</v>
      </c>
      <c r="AT41">
        <v>2</v>
      </c>
      <c r="AU41">
        <v>2</v>
      </c>
      <c r="AV41">
        <v>3</v>
      </c>
      <c r="AW41">
        <v>2</v>
      </c>
      <c r="AX41">
        <v>7</v>
      </c>
      <c r="AY41">
        <v>7</v>
      </c>
      <c r="AZ41">
        <v>5</v>
      </c>
      <c r="BA41">
        <v>3</v>
      </c>
      <c r="BB41">
        <v>3</v>
      </c>
      <c r="BC41">
        <v>3</v>
      </c>
      <c r="BD41">
        <v>7</v>
      </c>
      <c r="BE41">
        <v>2</v>
      </c>
      <c r="BF41">
        <v>3</v>
      </c>
      <c r="BG41">
        <v>5</v>
      </c>
      <c r="BH41">
        <v>9</v>
      </c>
      <c r="BI41">
        <v>2</v>
      </c>
      <c r="BJ41">
        <v>5</v>
      </c>
      <c r="BK41">
        <v>5</v>
      </c>
      <c r="BL41">
        <v>3</v>
      </c>
      <c r="BM41">
        <v>2</v>
      </c>
      <c r="BN41">
        <v>3</v>
      </c>
      <c r="BO41">
        <v>2</v>
      </c>
      <c r="BP41">
        <v>2</v>
      </c>
      <c r="BQ41">
        <v>5</v>
      </c>
      <c r="BR41">
        <v>3</v>
      </c>
      <c r="BS41">
        <v>3</v>
      </c>
      <c r="BT41">
        <v>3</v>
      </c>
      <c r="BU41">
        <v>3</v>
      </c>
      <c r="BV41">
        <v>5</v>
      </c>
      <c r="BW41">
        <v>6</v>
      </c>
      <c r="BX41">
        <v>5</v>
      </c>
      <c r="BY41">
        <v>3</v>
      </c>
      <c r="BZ41">
        <v>2</v>
      </c>
      <c r="CA41">
        <v>2</v>
      </c>
      <c r="CB41">
        <v>8</v>
      </c>
      <c r="CC41">
        <v>3</v>
      </c>
      <c r="CD41">
        <v>3</v>
      </c>
      <c r="CE41">
        <v>3</v>
      </c>
      <c r="CF41">
        <v>2</v>
      </c>
      <c r="CG41">
        <v>3</v>
      </c>
      <c r="CH41">
        <v>3</v>
      </c>
      <c r="CI41">
        <v>2</v>
      </c>
      <c r="CJ41">
        <v>2</v>
      </c>
      <c r="CK41">
        <v>7</v>
      </c>
      <c r="CL41">
        <v>2</v>
      </c>
      <c r="CM41">
        <v>6</v>
      </c>
      <c r="CN41">
        <v>6</v>
      </c>
      <c r="CO41">
        <v>8</v>
      </c>
      <c r="CP41">
        <v>3</v>
      </c>
      <c r="CQ41">
        <v>4</v>
      </c>
      <c r="CR41">
        <v>3</v>
      </c>
      <c r="CS41">
        <v>3</v>
      </c>
      <c r="CT41">
        <v>2</v>
      </c>
      <c r="CU41">
        <v>4</v>
      </c>
      <c r="CV41">
        <v>3</v>
      </c>
      <c r="CW41">
        <v>2</v>
      </c>
      <c r="CX41">
        <v>7</v>
      </c>
      <c r="CY41">
        <v>4</v>
      </c>
    </row>
    <row r="42" spans="1:103" x14ac:dyDescent="0.25">
      <c r="A42" s="7">
        <f t="shared" si="18"/>
        <v>72</v>
      </c>
      <c r="B42" s="7">
        <f t="shared" si="19"/>
        <v>7</v>
      </c>
      <c r="C42" t="s">
        <v>10</v>
      </c>
      <c r="D42">
        <v>7</v>
      </c>
      <c r="E42" s="7">
        <v>7</v>
      </c>
      <c r="F42" s="7">
        <v>4</v>
      </c>
      <c r="G42">
        <v>7</v>
      </c>
      <c r="H42">
        <v>4</v>
      </c>
      <c r="I42">
        <v>5</v>
      </c>
      <c r="J42">
        <v>8</v>
      </c>
      <c r="K42">
        <v>4</v>
      </c>
      <c r="L42">
        <v>6</v>
      </c>
      <c r="M42">
        <v>7</v>
      </c>
      <c r="N42">
        <v>3</v>
      </c>
      <c r="O42">
        <v>5</v>
      </c>
      <c r="P42">
        <v>7</v>
      </c>
      <c r="Q42">
        <v>9</v>
      </c>
      <c r="R42">
        <v>3</v>
      </c>
      <c r="S42">
        <v>3</v>
      </c>
      <c r="T42">
        <v>2</v>
      </c>
      <c r="U42">
        <v>7</v>
      </c>
      <c r="V42">
        <v>4</v>
      </c>
      <c r="W42">
        <v>5</v>
      </c>
      <c r="X42">
        <v>3</v>
      </c>
      <c r="Y42">
        <v>5</v>
      </c>
      <c r="Z42">
        <v>5</v>
      </c>
      <c r="AA42">
        <v>4</v>
      </c>
      <c r="AB42">
        <v>7</v>
      </c>
      <c r="AC42">
        <v>7</v>
      </c>
      <c r="AD42">
        <v>3</v>
      </c>
      <c r="AE42">
        <v>4</v>
      </c>
      <c r="AF42">
        <v>3</v>
      </c>
      <c r="AG42">
        <v>5</v>
      </c>
      <c r="AH42">
        <v>6</v>
      </c>
      <c r="AI42">
        <v>6</v>
      </c>
      <c r="AJ42">
        <v>4</v>
      </c>
      <c r="AK42">
        <v>4</v>
      </c>
      <c r="AL42">
        <v>7</v>
      </c>
      <c r="AM42">
        <v>4</v>
      </c>
      <c r="AN42">
        <v>4</v>
      </c>
      <c r="AO42">
        <v>4</v>
      </c>
      <c r="AP42">
        <v>8</v>
      </c>
      <c r="AQ42">
        <v>5</v>
      </c>
      <c r="AR42">
        <v>5</v>
      </c>
      <c r="AS42">
        <v>3</v>
      </c>
      <c r="AT42">
        <v>3</v>
      </c>
      <c r="AU42">
        <v>8</v>
      </c>
      <c r="AV42">
        <v>4</v>
      </c>
      <c r="AW42">
        <v>7</v>
      </c>
      <c r="AX42">
        <v>8</v>
      </c>
      <c r="AY42">
        <v>9</v>
      </c>
      <c r="AZ42">
        <v>6</v>
      </c>
      <c r="BA42">
        <v>6</v>
      </c>
      <c r="BB42">
        <v>6</v>
      </c>
      <c r="BC42">
        <v>6</v>
      </c>
      <c r="BD42">
        <v>9</v>
      </c>
      <c r="BE42">
        <v>3</v>
      </c>
      <c r="BF42">
        <v>4</v>
      </c>
      <c r="BG42">
        <v>2</v>
      </c>
      <c r="BH42">
        <v>3</v>
      </c>
      <c r="BI42">
        <v>5</v>
      </c>
      <c r="BJ42">
        <v>6</v>
      </c>
      <c r="BK42">
        <v>8</v>
      </c>
      <c r="BL42">
        <v>5</v>
      </c>
      <c r="BM42">
        <v>8</v>
      </c>
      <c r="BN42">
        <v>6</v>
      </c>
      <c r="BO42">
        <v>6</v>
      </c>
      <c r="BP42">
        <v>4</v>
      </c>
      <c r="BQ42">
        <v>2</v>
      </c>
      <c r="BR42">
        <v>4</v>
      </c>
      <c r="BS42">
        <v>8</v>
      </c>
      <c r="BT42">
        <v>7</v>
      </c>
      <c r="BU42">
        <v>2</v>
      </c>
      <c r="BV42">
        <v>7</v>
      </c>
      <c r="BW42">
        <v>3</v>
      </c>
      <c r="BX42">
        <v>3</v>
      </c>
      <c r="BY42">
        <v>4</v>
      </c>
      <c r="BZ42">
        <v>7</v>
      </c>
      <c r="CA42">
        <v>6</v>
      </c>
      <c r="CB42">
        <v>4</v>
      </c>
      <c r="CC42">
        <v>6</v>
      </c>
      <c r="CD42">
        <v>2</v>
      </c>
      <c r="CE42">
        <v>5</v>
      </c>
      <c r="CF42">
        <v>5</v>
      </c>
      <c r="CG42">
        <v>7</v>
      </c>
      <c r="CH42">
        <v>5</v>
      </c>
      <c r="CI42">
        <v>7</v>
      </c>
      <c r="CJ42">
        <v>6</v>
      </c>
      <c r="CK42">
        <v>3</v>
      </c>
      <c r="CL42">
        <v>3</v>
      </c>
      <c r="CM42">
        <v>3</v>
      </c>
      <c r="CN42">
        <v>7</v>
      </c>
      <c r="CO42">
        <v>4</v>
      </c>
      <c r="CP42">
        <v>2</v>
      </c>
      <c r="CQ42">
        <v>5</v>
      </c>
      <c r="CR42">
        <v>5</v>
      </c>
      <c r="CS42">
        <v>4</v>
      </c>
      <c r="CT42">
        <v>9</v>
      </c>
      <c r="CU42">
        <v>2</v>
      </c>
      <c r="CV42">
        <v>4</v>
      </c>
      <c r="CW42">
        <v>6</v>
      </c>
      <c r="CX42">
        <v>4</v>
      </c>
      <c r="CY42">
        <v>7</v>
      </c>
    </row>
    <row r="43" spans="1:103" x14ac:dyDescent="0.25">
      <c r="A43" s="7">
        <f t="shared" si="18"/>
        <v>49</v>
      </c>
      <c r="B43" s="7">
        <f t="shared" si="19"/>
        <v>4</v>
      </c>
      <c r="C43" t="s">
        <v>4</v>
      </c>
      <c r="D43">
        <v>4</v>
      </c>
      <c r="E43" s="7">
        <v>8</v>
      </c>
      <c r="F43" s="7">
        <v>8</v>
      </c>
      <c r="G43">
        <v>8</v>
      </c>
      <c r="H43">
        <v>8</v>
      </c>
      <c r="I43">
        <v>4</v>
      </c>
      <c r="J43">
        <v>6</v>
      </c>
      <c r="K43">
        <v>8</v>
      </c>
      <c r="L43">
        <v>2</v>
      </c>
      <c r="M43">
        <v>4</v>
      </c>
      <c r="N43">
        <v>4</v>
      </c>
      <c r="O43">
        <v>6</v>
      </c>
      <c r="P43">
        <v>5</v>
      </c>
      <c r="Q43">
        <v>7</v>
      </c>
      <c r="R43">
        <v>8</v>
      </c>
      <c r="S43">
        <v>7</v>
      </c>
      <c r="T43">
        <v>6</v>
      </c>
      <c r="U43">
        <v>6</v>
      </c>
      <c r="V43">
        <v>7</v>
      </c>
      <c r="W43">
        <v>7</v>
      </c>
      <c r="X43">
        <v>5</v>
      </c>
      <c r="Y43">
        <v>4</v>
      </c>
      <c r="Z43">
        <v>7</v>
      </c>
      <c r="AA43">
        <v>8</v>
      </c>
      <c r="AB43">
        <v>2</v>
      </c>
      <c r="AC43">
        <v>6</v>
      </c>
      <c r="AD43">
        <v>5</v>
      </c>
      <c r="AE43">
        <v>9</v>
      </c>
      <c r="AF43">
        <v>4</v>
      </c>
      <c r="AG43">
        <v>8</v>
      </c>
      <c r="AH43">
        <v>9</v>
      </c>
      <c r="AI43">
        <v>4</v>
      </c>
      <c r="AJ43">
        <v>5</v>
      </c>
      <c r="AK43">
        <v>7</v>
      </c>
      <c r="AL43">
        <v>4</v>
      </c>
      <c r="AM43">
        <v>9</v>
      </c>
      <c r="AN43">
        <v>6</v>
      </c>
      <c r="AO43">
        <v>5</v>
      </c>
      <c r="AP43">
        <v>6</v>
      </c>
      <c r="AQ43">
        <v>8</v>
      </c>
      <c r="AR43">
        <v>9</v>
      </c>
      <c r="AS43">
        <v>9</v>
      </c>
      <c r="AT43">
        <v>5</v>
      </c>
      <c r="AU43">
        <v>3</v>
      </c>
      <c r="AV43">
        <v>7</v>
      </c>
      <c r="AW43">
        <v>8</v>
      </c>
      <c r="AX43">
        <v>6</v>
      </c>
      <c r="AY43">
        <v>4</v>
      </c>
      <c r="AZ43">
        <v>9</v>
      </c>
      <c r="BA43">
        <v>4</v>
      </c>
      <c r="BB43">
        <v>10</v>
      </c>
      <c r="BC43">
        <v>7</v>
      </c>
      <c r="BD43">
        <v>4</v>
      </c>
      <c r="BE43">
        <v>5</v>
      </c>
      <c r="BF43">
        <v>8</v>
      </c>
      <c r="BG43">
        <v>8</v>
      </c>
      <c r="BH43">
        <v>2</v>
      </c>
      <c r="BI43">
        <v>4</v>
      </c>
      <c r="BJ43">
        <v>7</v>
      </c>
      <c r="BK43">
        <v>2</v>
      </c>
      <c r="BL43">
        <v>4</v>
      </c>
      <c r="BM43">
        <v>5</v>
      </c>
      <c r="BN43">
        <v>8</v>
      </c>
      <c r="BO43">
        <v>7</v>
      </c>
      <c r="BP43">
        <v>8</v>
      </c>
      <c r="BQ43">
        <v>6</v>
      </c>
      <c r="BR43">
        <v>7</v>
      </c>
      <c r="BS43">
        <v>7</v>
      </c>
      <c r="BT43">
        <v>4</v>
      </c>
      <c r="BU43">
        <v>5</v>
      </c>
      <c r="BV43">
        <v>8</v>
      </c>
      <c r="BW43">
        <v>7</v>
      </c>
      <c r="BX43">
        <v>7</v>
      </c>
      <c r="BY43">
        <v>7</v>
      </c>
      <c r="BZ43">
        <v>5</v>
      </c>
      <c r="CA43">
        <v>8</v>
      </c>
      <c r="CB43">
        <v>5</v>
      </c>
      <c r="CC43">
        <v>8</v>
      </c>
      <c r="CD43">
        <v>4</v>
      </c>
      <c r="CE43">
        <v>8</v>
      </c>
      <c r="CF43">
        <v>6</v>
      </c>
      <c r="CG43">
        <v>9</v>
      </c>
      <c r="CH43">
        <v>4</v>
      </c>
      <c r="CI43">
        <v>8</v>
      </c>
      <c r="CJ43">
        <v>7</v>
      </c>
      <c r="CK43">
        <v>5</v>
      </c>
      <c r="CL43">
        <v>7</v>
      </c>
      <c r="CM43">
        <v>9</v>
      </c>
      <c r="CN43">
        <v>4</v>
      </c>
      <c r="CO43">
        <v>5</v>
      </c>
      <c r="CP43">
        <v>4</v>
      </c>
      <c r="CQ43">
        <v>6</v>
      </c>
      <c r="CR43">
        <v>7</v>
      </c>
      <c r="CS43">
        <v>8</v>
      </c>
      <c r="CT43">
        <v>6</v>
      </c>
      <c r="CU43">
        <v>9</v>
      </c>
      <c r="CV43">
        <v>8</v>
      </c>
      <c r="CW43">
        <v>7</v>
      </c>
      <c r="CX43">
        <v>9</v>
      </c>
      <c r="CY43">
        <v>5</v>
      </c>
    </row>
    <row r="44" spans="1:103" x14ac:dyDescent="0.25">
      <c r="A44" s="7">
        <f t="shared" si="18"/>
        <v>75</v>
      </c>
      <c r="B44" s="7">
        <f t="shared" si="19"/>
        <v>7</v>
      </c>
      <c r="C44" t="s">
        <v>9</v>
      </c>
      <c r="D44">
        <v>9</v>
      </c>
      <c r="E44" s="7">
        <v>5</v>
      </c>
      <c r="F44" s="7">
        <v>2</v>
      </c>
      <c r="G44">
        <v>5</v>
      </c>
      <c r="H44">
        <v>6</v>
      </c>
      <c r="I44">
        <v>8</v>
      </c>
      <c r="J44">
        <v>2</v>
      </c>
      <c r="K44">
        <v>9</v>
      </c>
      <c r="L44">
        <v>7</v>
      </c>
      <c r="M44">
        <v>5</v>
      </c>
      <c r="N44">
        <v>6</v>
      </c>
      <c r="O44">
        <v>7</v>
      </c>
      <c r="P44">
        <v>9</v>
      </c>
      <c r="Q44">
        <v>5</v>
      </c>
      <c r="R44">
        <v>4</v>
      </c>
      <c r="S44">
        <v>8</v>
      </c>
      <c r="T44">
        <v>7</v>
      </c>
      <c r="U44">
        <v>2</v>
      </c>
      <c r="V44">
        <v>2</v>
      </c>
      <c r="W44">
        <v>6</v>
      </c>
      <c r="X44">
        <v>7</v>
      </c>
      <c r="Y44">
        <v>6</v>
      </c>
      <c r="Z44">
        <v>9</v>
      </c>
      <c r="AA44">
        <v>5</v>
      </c>
      <c r="AB44">
        <v>3</v>
      </c>
      <c r="AC44">
        <v>3</v>
      </c>
      <c r="AD44">
        <v>7</v>
      </c>
      <c r="AE44">
        <v>6</v>
      </c>
      <c r="AF44">
        <v>5</v>
      </c>
      <c r="AG44">
        <v>6</v>
      </c>
      <c r="AH44">
        <v>4</v>
      </c>
      <c r="AI44">
        <v>5</v>
      </c>
      <c r="AJ44">
        <v>6</v>
      </c>
      <c r="AK44">
        <v>5</v>
      </c>
      <c r="AL44">
        <v>9</v>
      </c>
      <c r="AM44">
        <v>5</v>
      </c>
      <c r="AN44">
        <v>7</v>
      </c>
      <c r="AO44">
        <v>3</v>
      </c>
      <c r="AP44">
        <v>7</v>
      </c>
      <c r="AQ44">
        <v>3</v>
      </c>
      <c r="AR44">
        <v>3</v>
      </c>
      <c r="AS44">
        <v>7</v>
      </c>
      <c r="AT44">
        <v>6</v>
      </c>
      <c r="AU44">
        <v>4</v>
      </c>
      <c r="AV44">
        <v>5</v>
      </c>
      <c r="AW44">
        <v>6</v>
      </c>
      <c r="AX44">
        <v>2</v>
      </c>
      <c r="AY44">
        <v>5</v>
      </c>
      <c r="AZ44">
        <v>3</v>
      </c>
      <c r="BA44">
        <v>8</v>
      </c>
      <c r="BB44">
        <v>4</v>
      </c>
      <c r="BC44">
        <v>9</v>
      </c>
      <c r="BD44">
        <v>6</v>
      </c>
      <c r="BE44">
        <v>6</v>
      </c>
      <c r="BF44">
        <v>6</v>
      </c>
      <c r="BG44">
        <v>6</v>
      </c>
      <c r="BH44">
        <v>6</v>
      </c>
      <c r="BI44">
        <v>6</v>
      </c>
      <c r="BJ44">
        <v>8</v>
      </c>
      <c r="BK44">
        <v>3</v>
      </c>
      <c r="BL44">
        <v>9</v>
      </c>
      <c r="BM44">
        <v>4</v>
      </c>
      <c r="BN44">
        <v>4</v>
      </c>
      <c r="BO44">
        <v>4</v>
      </c>
      <c r="BP44">
        <v>5</v>
      </c>
      <c r="BQ44">
        <v>7</v>
      </c>
      <c r="BR44">
        <v>5</v>
      </c>
      <c r="BS44">
        <v>6</v>
      </c>
      <c r="BT44">
        <v>5</v>
      </c>
      <c r="BU44">
        <v>8</v>
      </c>
      <c r="BV44">
        <v>6</v>
      </c>
      <c r="BW44">
        <v>5</v>
      </c>
      <c r="BX44">
        <v>4</v>
      </c>
      <c r="BY44">
        <v>6</v>
      </c>
      <c r="BZ44">
        <v>9</v>
      </c>
      <c r="CA44">
        <v>3</v>
      </c>
      <c r="CB44">
        <v>2</v>
      </c>
      <c r="CC44">
        <v>7</v>
      </c>
      <c r="CD44">
        <v>8</v>
      </c>
      <c r="CE44">
        <v>6</v>
      </c>
      <c r="CF44">
        <v>3</v>
      </c>
      <c r="CG44">
        <v>4</v>
      </c>
      <c r="CH44">
        <v>6</v>
      </c>
      <c r="CI44">
        <v>5</v>
      </c>
      <c r="CJ44">
        <v>4</v>
      </c>
      <c r="CK44">
        <v>4</v>
      </c>
      <c r="CL44">
        <v>4</v>
      </c>
      <c r="CM44">
        <v>4</v>
      </c>
      <c r="CN44">
        <v>5</v>
      </c>
      <c r="CO44">
        <v>2</v>
      </c>
      <c r="CP44">
        <v>8</v>
      </c>
      <c r="CQ44">
        <v>3</v>
      </c>
      <c r="CR44">
        <v>6</v>
      </c>
      <c r="CS44">
        <v>5</v>
      </c>
      <c r="CT44">
        <v>5</v>
      </c>
      <c r="CU44">
        <v>6</v>
      </c>
      <c r="CV44">
        <v>5</v>
      </c>
      <c r="CW44">
        <v>3</v>
      </c>
      <c r="CX44">
        <v>3</v>
      </c>
      <c r="CY44">
        <v>6</v>
      </c>
    </row>
    <row r="45" spans="1:103" x14ac:dyDescent="0.25">
      <c r="A45" s="7">
        <f t="shared" si="18"/>
        <v>41</v>
      </c>
      <c r="B45" s="7">
        <f t="shared" si="19"/>
        <v>5</v>
      </c>
      <c r="C45" t="s">
        <v>8</v>
      </c>
      <c r="D45">
        <v>2</v>
      </c>
      <c r="E45" s="7">
        <v>6</v>
      </c>
      <c r="F45" s="7">
        <v>7</v>
      </c>
      <c r="G45">
        <v>6</v>
      </c>
      <c r="H45">
        <v>7</v>
      </c>
      <c r="I45">
        <v>2</v>
      </c>
      <c r="J45">
        <v>3</v>
      </c>
      <c r="K45">
        <v>6</v>
      </c>
      <c r="L45">
        <v>3</v>
      </c>
      <c r="M45">
        <v>6</v>
      </c>
      <c r="N45">
        <v>7</v>
      </c>
      <c r="O45">
        <v>8</v>
      </c>
      <c r="P45">
        <v>2</v>
      </c>
      <c r="Q45">
        <v>6</v>
      </c>
      <c r="R45">
        <v>7</v>
      </c>
      <c r="S45">
        <v>5</v>
      </c>
      <c r="T45">
        <v>9</v>
      </c>
      <c r="U45">
        <v>8</v>
      </c>
      <c r="V45">
        <v>6</v>
      </c>
      <c r="W45">
        <v>9</v>
      </c>
      <c r="X45">
        <v>9</v>
      </c>
      <c r="Y45">
        <v>8</v>
      </c>
      <c r="Z45">
        <v>6</v>
      </c>
      <c r="AA45">
        <v>7</v>
      </c>
      <c r="AB45">
        <v>5</v>
      </c>
      <c r="AC45">
        <v>9</v>
      </c>
      <c r="AD45">
        <v>8</v>
      </c>
      <c r="AE45">
        <v>7</v>
      </c>
      <c r="AF45">
        <v>6</v>
      </c>
      <c r="AG45">
        <v>7</v>
      </c>
      <c r="AH45">
        <v>5</v>
      </c>
      <c r="AI45">
        <v>8</v>
      </c>
      <c r="AJ45">
        <v>8</v>
      </c>
      <c r="AK45">
        <v>6</v>
      </c>
      <c r="AL45">
        <v>6</v>
      </c>
      <c r="AM45">
        <v>6</v>
      </c>
      <c r="AN45">
        <v>8</v>
      </c>
      <c r="AO45">
        <v>7</v>
      </c>
      <c r="AP45">
        <v>4</v>
      </c>
      <c r="AQ45">
        <v>6</v>
      </c>
      <c r="AR45">
        <v>10</v>
      </c>
      <c r="AS45">
        <v>5</v>
      </c>
      <c r="AT45">
        <v>8</v>
      </c>
      <c r="AU45">
        <v>7</v>
      </c>
      <c r="AV45">
        <v>8</v>
      </c>
      <c r="AW45">
        <v>4</v>
      </c>
      <c r="AX45">
        <v>4</v>
      </c>
      <c r="AY45">
        <v>6</v>
      </c>
      <c r="AZ45">
        <v>4</v>
      </c>
      <c r="BA45">
        <v>2</v>
      </c>
      <c r="BB45">
        <v>8</v>
      </c>
      <c r="BC45">
        <v>8</v>
      </c>
      <c r="BD45">
        <v>3</v>
      </c>
      <c r="BE45">
        <v>7</v>
      </c>
      <c r="BF45">
        <v>7</v>
      </c>
      <c r="BG45">
        <v>3</v>
      </c>
      <c r="BH45">
        <v>7</v>
      </c>
      <c r="BI45">
        <v>7</v>
      </c>
      <c r="BJ45">
        <v>3</v>
      </c>
      <c r="BK45">
        <v>7</v>
      </c>
      <c r="BL45">
        <v>7</v>
      </c>
      <c r="BM45">
        <v>7</v>
      </c>
      <c r="BN45">
        <v>5</v>
      </c>
      <c r="BO45">
        <v>5</v>
      </c>
      <c r="BP45">
        <v>7</v>
      </c>
      <c r="BQ45">
        <v>8</v>
      </c>
      <c r="BR45">
        <v>9</v>
      </c>
      <c r="BS45">
        <v>2</v>
      </c>
      <c r="BT45">
        <v>8</v>
      </c>
      <c r="BU45">
        <v>7</v>
      </c>
      <c r="BV45">
        <v>3</v>
      </c>
      <c r="BW45">
        <v>8</v>
      </c>
      <c r="BX45">
        <v>8</v>
      </c>
      <c r="BY45">
        <v>8</v>
      </c>
      <c r="BZ45">
        <v>6</v>
      </c>
      <c r="CA45">
        <v>7</v>
      </c>
      <c r="CB45">
        <v>7</v>
      </c>
      <c r="CC45">
        <v>5</v>
      </c>
      <c r="CD45">
        <v>5</v>
      </c>
      <c r="CE45">
        <v>7</v>
      </c>
      <c r="CF45">
        <v>8</v>
      </c>
      <c r="CG45">
        <v>5</v>
      </c>
      <c r="CH45">
        <v>8</v>
      </c>
      <c r="CI45">
        <v>6</v>
      </c>
      <c r="CJ45">
        <v>8</v>
      </c>
      <c r="CK45">
        <v>6</v>
      </c>
      <c r="CL45">
        <v>8</v>
      </c>
      <c r="CM45">
        <v>7</v>
      </c>
      <c r="CN45">
        <v>8</v>
      </c>
      <c r="CO45">
        <v>7</v>
      </c>
      <c r="CP45">
        <v>7</v>
      </c>
      <c r="CQ45">
        <v>8</v>
      </c>
      <c r="CR45">
        <v>8</v>
      </c>
      <c r="CS45">
        <v>7</v>
      </c>
      <c r="CT45">
        <v>7</v>
      </c>
      <c r="CU45">
        <v>8</v>
      </c>
      <c r="CV45">
        <v>7</v>
      </c>
      <c r="CW45">
        <v>8</v>
      </c>
      <c r="CX45">
        <v>6</v>
      </c>
      <c r="CY45">
        <v>9</v>
      </c>
    </row>
    <row r="46" spans="1:103" x14ac:dyDescent="0.25">
      <c r="A46" s="7">
        <f t="shared" si="18"/>
        <v>74</v>
      </c>
      <c r="B46" s="7">
        <f t="shared" si="19"/>
        <v>2</v>
      </c>
      <c r="C46" t="s">
        <v>6</v>
      </c>
      <c r="D46">
        <v>8</v>
      </c>
      <c r="E46" s="7">
        <v>3</v>
      </c>
      <c r="F46" s="7">
        <v>5</v>
      </c>
      <c r="G46">
        <v>3</v>
      </c>
      <c r="H46">
        <v>5</v>
      </c>
      <c r="I46">
        <v>6</v>
      </c>
      <c r="J46">
        <v>7</v>
      </c>
      <c r="K46">
        <v>5</v>
      </c>
      <c r="L46">
        <v>8</v>
      </c>
      <c r="M46">
        <v>8</v>
      </c>
      <c r="N46">
        <v>8</v>
      </c>
      <c r="O46">
        <v>3</v>
      </c>
      <c r="P46">
        <v>6</v>
      </c>
      <c r="Q46">
        <v>4</v>
      </c>
      <c r="R46">
        <v>6</v>
      </c>
      <c r="S46">
        <v>4</v>
      </c>
      <c r="T46">
        <v>3</v>
      </c>
      <c r="U46">
        <v>4</v>
      </c>
      <c r="V46">
        <v>8</v>
      </c>
      <c r="W46">
        <v>2</v>
      </c>
      <c r="X46">
        <v>6</v>
      </c>
      <c r="Y46">
        <v>7</v>
      </c>
      <c r="Z46">
        <v>3</v>
      </c>
      <c r="AA46">
        <v>6</v>
      </c>
      <c r="AB46">
        <v>4</v>
      </c>
      <c r="AC46">
        <v>4</v>
      </c>
      <c r="AD46">
        <v>6</v>
      </c>
      <c r="AE46">
        <v>5</v>
      </c>
      <c r="AF46">
        <v>7</v>
      </c>
      <c r="AG46">
        <v>4</v>
      </c>
      <c r="AH46">
        <v>7</v>
      </c>
      <c r="AI46">
        <v>9</v>
      </c>
      <c r="AJ46">
        <v>7</v>
      </c>
      <c r="AK46">
        <v>8</v>
      </c>
      <c r="AL46">
        <v>5</v>
      </c>
      <c r="AM46">
        <v>8</v>
      </c>
      <c r="AN46">
        <v>5</v>
      </c>
      <c r="AO46">
        <v>6</v>
      </c>
      <c r="AP46">
        <v>3</v>
      </c>
      <c r="AQ46">
        <v>4</v>
      </c>
      <c r="AR46">
        <v>6</v>
      </c>
      <c r="AS46">
        <v>4</v>
      </c>
      <c r="AT46">
        <v>7</v>
      </c>
      <c r="AU46">
        <v>5</v>
      </c>
      <c r="AV46">
        <v>6</v>
      </c>
      <c r="AW46">
        <v>3</v>
      </c>
      <c r="AX46">
        <v>3</v>
      </c>
      <c r="AY46">
        <v>3</v>
      </c>
      <c r="AZ46">
        <v>7</v>
      </c>
      <c r="BA46">
        <v>7</v>
      </c>
      <c r="BB46">
        <v>7</v>
      </c>
      <c r="BC46">
        <v>4</v>
      </c>
      <c r="BD46">
        <v>5</v>
      </c>
      <c r="BE46">
        <v>4</v>
      </c>
      <c r="BF46">
        <v>5</v>
      </c>
      <c r="BG46">
        <v>7</v>
      </c>
      <c r="BH46">
        <v>4</v>
      </c>
      <c r="BI46">
        <v>8</v>
      </c>
      <c r="BJ46">
        <v>4</v>
      </c>
      <c r="BK46">
        <v>6</v>
      </c>
      <c r="BL46">
        <v>6</v>
      </c>
      <c r="BM46">
        <v>6</v>
      </c>
      <c r="BN46">
        <v>7</v>
      </c>
      <c r="BO46">
        <v>8</v>
      </c>
      <c r="BP46">
        <v>6</v>
      </c>
      <c r="BQ46">
        <v>4</v>
      </c>
      <c r="BR46">
        <v>6</v>
      </c>
      <c r="BS46">
        <v>5</v>
      </c>
      <c r="BT46">
        <v>6</v>
      </c>
      <c r="BU46">
        <v>6</v>
      </c>
      <c r="BV46">
        <v>4</v>
      </c>
      <c r="BW46">
        <v>4</v>
      </c>
      <c r="BX46">
        <v>6</v>
      </c>
      <c r="BY46">
        <v>5</v>
      </c>
      <c r="BZ46">
        <v>4</v>
      </c>
      <c r="CA46">
        <v>4</v>
      </c>
      <c r="CB46">
        <v>6</v>
      </c>
      <c r="CC46">
        <v>4</v>
      </c>
      <c r="CD46">
        <v>7</v>
      </c>
      <c r="CE46">
        <v>4</v>
      </c>
      <c r="CF46">
        <v>7</v>
      </c>
      <c r="CG46">
        <v>6</v>
      </c>
      <c r="CH46">
        <v>7</v>
      </c>
      <c r="CI46">
        <v>4</v>
      </c>
      <c r="CJ46">
        <v>3</v>
      </c>
      <c r="CK46">
        <v>9</v>
      </c>
      <c r="CL46">
        <v>5</v>
      </c>
      <c r="CM46">
        <v>5</v>
      </c>
      <c r="CN46">
        <v>3</v>
      </c>
      <c r="CO46">
        <v>6</v>
      </c>
      <c r="CP46">
        <v>6</v>
      </c>
      <c r="CQ46">
        <v>7</v>
      </c>
      <c r="CR46">
        <v>4</v>
      </c>
      <c r="CS46">
        <v>6</v>
      </c>
      <c r="CT46">
        <v>4</v>
      </c>
      <c r="CU46">
        <v>3</v>
      </c>
      <c r="CV46">
        <v>6</v>
      </c>
      <c r="CW46">
        <v>4</v>
      </c>
      <c r="CX46">
        <v>5</v>
      </c>
      <c r="CY46">
        <v>2</v>
      </c>
    </row>
    <row r="47" spans="1:103" x14ac:dyDescent="0.25">
      <c r="A47" s="7">
        <f t="shared" si="18"/>
        <v>3</v>
      </c>
      <c r="B47" s="7">
        <f t="shared" si="19"/>
        <v>0</v>
      </c>
      <c r="C47" t="s">
        <v>11</v>
      </c>
      <c r="D47">
        <v>6</v>
      </c>
      <c r="E47" s="7">
        <v>10</v>
      </c>
      <c r="F47" s="7">
        <v>10</v>
      </c>
      <c r="G47">
        <v>10</v>
      </c>
      <c r="H47">
        <v>9</v>
      </c>
      <c r="I47">
        <v>9</v>
      </c>
      <c r="J47">
        <v>9</v>
      </c>
      <c r="K47">
        <v>7</v>
      </c>
      <c r="L47">
        <v>9</v>
      </c>
      <c r="M47">
        <v>9</v>
      </c>
      <c r="N47">
        <v>10</v>
      </c>
      <c r="O47">
        <v>9</v>
      </c>
      <c r="P47">
        <v>8</v>
      </c>
      <c r="Q47">
        <v>8</v>
      </c>
      <c r="R47">
        <v>9</v>
      </c>
      <c r="S47">
        <v>9</v>
      </c>
      <c r="T47">
        <v>8</v>
      </c>
      <c r="U47">
        <v>9</v>
      </c>
      <c r="V47">
        <v>9</v>
      </c>
      <c r="W47">
        <v>10</v>
      </c>
      <c r="X47">
        <v>8</v>
      </c>
      <c r="Y47">
        <v>10</v>
      </c>
      <c r="Z47">
        <v>8</v>
      </c>
      <c r="AA47">
        <v>11</v>
      </c>
      <c r="AB47">
        <v>9</v>
      </c>
      <c r="AC47">
        <v>8</v>
      </c>
      <c r="AD47">
        <v>9</v>
      </c>
      <c r="AE47">
        <v>8</v>
      </c>
      <c r="AF47">
        <v>11</v>
      </c>
      <c r="AG47">
        <v>10</v>
      </c>
      <c r="AH47">
        <v>8</v>
      </c>
      <c r="AI47">
        <v>10</v>
      </c>
      <c r="AJ47">
        <v>9</v>
      </c>
      <c r="AK47">
        <v>10</v>
      </c>
      <c r="AL47">
        <v>8</v>
      </c>
      <c r="AM47">
        <v>7</v>
      </c>
      <c r="AN47">
        <v>9</v>
      </c>
      <c r="AO47">
        <v>9</v>
      </c>
      <c r="AP47">
        <v>10</v>
      </c>
      <c r="AQ47">
        <v>10</v>
      </c>
      <c r="AR47">
        <v>8</v>
      </c>
      <c r="AS47">
        <v>8</v>
      </c>
      <c r="AT47">
        <v>10</v>
      </c>
      <c r="AU47">
        <v>10</v>
      </c>
      <c r="AV47">
        <v>9</v>
      </c>
      <c r="AW47">
        <v>9</v>
      </c>
      <c r="AX47">
        <v>9</v>
      </c>
      <c r="AY47">
        <v>8</v>
      </c>
      <c r="AZ47">
        <v>8</v>
      </c>
      <c r="BA47">
        <v>9</v>
      </c>
      <c r="BB47">
        <v>5</v>
      </c>
      <c r="BC47">
        <v>5</v>
      </c>
      <c r="BD47">
        <v>8</v>
      </c>
      <c r="BE47">
        <v>10</v>
      </c>
      <c r="BF47">
        <v>11</v>
      </c>
      <c r="BG47">
        <v>9</v>
      </c>
      <c r="BH47">
        <v>8</v>
      </c>
      <c r="BI47">
        <v>11</v>
      </c>
      <c r="BJ47">
        <v>9</v>
      </c>
      <c r="BK47">
        <v>11</v>
      </c>
      <c r="BL47">
        <v>8</v>
      </c>
      <c r="BM47">
        <v>9</v>
      </c>
      <c r="BN47">
        <v>9</v>
      </c>
      <c r="BO47">
        <v>9</v>
      </c>
      <c r="BP47">
        <v>9</v>
      </c>
      <c r="BQ47">
        <v>9</v>
      </c>
      <c r="BR47">
        <v>8</v>
      </c>
      <c r="BS47">
        <v>9</v>
      </c>
      <c r="BT47">
        <v>9</v>
      </c>
      <c r="BU47">
        <v>9</v>
      </c>
      <c r="BV47">
        <v>10</v>
      </c>
      <c r="BW47">
        <v>9</v>
      </c>
      <c r="BX47">
        <v>9</v>
      </c>
      <c r="BY47">
        <v>9</v>
      </c>
      <c r="BZ47">
        <v>8</v>
      </c>
      <c r="CA47">
        <v>9</v>
      </c>
      <c r="CB47">
        <v>10</v>
      </c>
      <c r="CC47">
        <v>9</v>
      </c>
      <c r="CD47">
        <v>10</v>
      </c>
      <c r="CE47">
        <v>9</v>
      </c>
      <c r="CF47">
        <v>10</v>
      </c>
      <c r="CG47">
        <v>8</v>
      </c>
      <c r="CH47">
        <v>9</v>
      </c>
      <c r="CI47">
        <v>10</v>
      </c>
      <c r="CJ47">
        <v>9</v>
      </c>
      <c r="CK47">
        <v>10</v>
      </c>
      <c r="CL47">
        <v>10</v>
      </c>
      <c r="CM47">
        <v>8</v>
      </c>
      <c r="CN47">
        <v>9</v>
      </c>
      <c r="CO47">
        <v>9</v>
      </c>
      <c r="CP47">
        <v>9</v>
      </c>
      <c r="CQ47">
        <v>10</v>
      </c>
      <c r="CR47">
        <v>9</v>
      </c>
      <c r="CS47">
        <v>10</v>
      </c>
      <c r="CT47">
        <v>8</v>
      </c>
      <c r="CU47">
        <v>10</v>
      </c>
      <c r="CV47">
        <v>10</v>
      </c>
      <c r="CW47">
        <v>9</v>
      </c>
      <c r="CX47">
        <v>8</v>
      </c>
      <c r="CY47">
        <v>8</v>
      </c>
    </row>
    <row r="48" spans="1:103" x14ac:dyDescent="0.25">
      <c r="A48" s="7">
        <f t="shared" si="18"/>
        <v>0</v>
      </c>
      <c r="B48" s="7">
        <f t="shared" si="19"/>
        <v>0</v>
      </c>
      <c r="C48" t="s">
        <v>2</v>
      </c>
      <c r="D48">
        <v>10</v>
      </c>
      <c r="E48" s="7">
        <v>11</v>
      </c>
      <c r="F48" s="7">
        <v>11</v>
      </c>
      <c r="G48">
        <v>12</v>
      </c>
      <c r="H48">
        <v>12</v>
      </c>
      <c r="I48">
        <v>11</v>
      </c>
      <c r="J48">
        <v>11</v>
      </c>
      <c r="K48">
        <v>11</v>
      </c>
      <c r="L48">
        <v>12</v>
      </c>
      <c r="M48">
        <v>10</v>
      </c>
      <c r="N48">
        <v>11</v>
      </c>
      <c r="O48">
        <v>10</v>
      </c>
      <c r="P48">
        <v>10</v>
      </c>
      <c r="Q48">
        <v>11</v>
      </c>
      <c r="R48">
        <v>10</v>
      </c>
      <c r="S48">
        <v>10</v>
      </c>
      <c r="T48">
        <v>10</v>
      </c>
      <c r="U48">
        <v>10</v>
      </c>
      <c r="V48">
        <v>12</v>
      </c>
      <c r="W48">
        <v>12</v>
      </c>
      <c r="X48">
        <v>10</v>
      </c>
      <c r="Y48">
        <v>9</v>
      </c>
      <c r="Z48">
        <v>11</v>
      </c>
      <c r="AA48">
        <v>9</v>
      </c>
      <c r="AB48">
        <v>12</v>
      </c>
      <c r="AC48">
        <v>12</v>
      </c>
      <c r="AD48">
        <v>12</v>
      </c>
      <c r="AE48">
        <v>10</v>
      </c>
      <c r="AF48">
        <v>9</v>
      </c>
      <c r="AG48">
        <v>12</v>
      </c>
      <c r="AH48">
        <v>10</v>
      </c>
      <c r="AI48">
        <v>12</v>
      </c>
      <c r="AJ48">
        <v>11</v>
      </c>
      <c r="AK48">
        <v>9</v>
      </c>
      <c r="AL48">
        <v>11</v>
      </c>
      <c r="AM48">
        <v>12</v>
      </c>
      <c r="AN48">
        <v>10</v>
      </c>
      <c r="AO48">
        <v>11</v>
      </c>
      <c r="AP48">
        <v>11</v>
      </c>
      <c r="AQ48">
        <v>12</v>
      </c>
      <c r="AR48">
        <v>12</v>
      </c>
      <c r="AS48">
        <v>12</v>
      </c>
      <c r="AT48">
        <v>12</v>
      </c>
      <c r="AU48">
        <v>12</v>
      </c>
      <c r="AV48">
        <v>10</v>
      </c>
      <c r="AW48">
        <v>11</v>
      </c>
      <c r="AX48">
        <v>11</v>
      </c>
      <c r="AY48">
        <v>11</v>
      </c>
      <c r="AZ48">
        <v>11</v>
      </c>
      <c r="BA48">
        <v>11</v>
      </c>
      <c r="BB48">
        <v>9</v>
      </c>
      <c r="BC48">
        <v>12</v>
      </c>
      <c r="BD48">
        <v>10</v>
      </c>
      <c r="BE48">
        <v>11</v>
      </c>
      <c r="BF48">
        <v>10</v>
      </c>
      <c r="BG48">
        <v>11</v>
      </c>
      <c r="BH48">
        <v>10</v>
      </c>
      <c r="BI48">
        <v>10</v>
      </c>
      <c r="BJ48">
        <v>12</v>
      </c>
      <c r="BK48">
        <v>9</v>
      </c>
      <c r="BL48">
        <v>12</v>
      </c>
      <c r="BM48">
        <v>12</v>
      </c>
      <c r="BN48">
        <v>10</v>
      </c>
      <c r="BO48">
        <v>10</v>
      </c>
      <c r="BP48">
        <v>10</v>
      </c>
      <c r="BQ48">
        <v>11</v>
      </c>
      <c r="BR48">
        <v>12</v>
      </c>
      <c r="BS48">
        <v>12</v>
      </c>
      <c r="BT48">
        <v>11</v>
      </c>
      <c r="BU48">
        <v>10</v>
      </c>
      <c r="BV48">
        <v>12</v>
      </c>
      <c r="BW48">
        <v>10</v>
      </c>
      <c r="BX48">
        <v>10</v>
      </c>
      <c r="BY48">
        <v>12</v>
      </c>
      <c r="BZ48">
        <v>10</v>
      </c>
      <c r="CA48">
        <v>10</v>
      </c>
      <c r="CB48">
        <v>12</v>
      </c>
      <c r="CC48">
        <v>12</v>
      </c>
      <c r="CD48">
        <v>11</v>
      </c>
      <c r="CE48">
        <v>11</v>
      </c>
      <c r="CF48">
        <v>12</v>
      </c>
      <c r="CG48">
        <v>10</v>
      </c>
      <c r="CH48">
        <v>10</v>
      </c>
      <c r="CI48">
        <v>11</v>
      </c>
      <c r="CJ48">
        <v>10</v>
      </c>
      <c r="CK48">
        <v>8</v>
      </c>
      <c r="CL48">
        <v>12</v>
      </c>
      <c r="CM48">
        <v>12</v>
      </c>
      <c r="CN48">
        <v>12</v>
      </c>
      <c r="CO48">
        <v>10</v>
      </c>
      <c r="CP48">
        <v>11</v>
      </c>
      <c r="CQ48">
        <v>12</v>
      </c>
      <c r="CR48">
        <v>11</v>
      </c>
      <c r="CS48">
        <v>12</v>
      </c>
      <c r="CT48">
        <v>10</v>
      </c>
      <c r="CU48">
        <v>11</v>
      </c>
      <c r="CV48">
        <v>11</v>
      </c>
      <c r="CW48">
        <v>10</v>
      </c>
      <c r="CX48">
        <v>10</v>
      </c>
      <c r="CY48">
        <v>12</v>
      </c>
    </row>
    <row r="49" spans="1:103" x14ac:dyDescent="0.25">
      <c r="A49" s="7">
        <f t="shared" si="18"/>
        <v>0</v>
      </c>
      <c r="B49" s="7">
        <f t="shared" si="19"/>
        <v>0</v>
      </c>
      <c r="C49" t="s">
        <v>1</v>
      </c>
      <c r="D49">
        <v>11</v>
      </c>
      <c r="E49" s="7">
        <v>9</v>
      </c>
      <c r="F49" s="7">
        <v>9</v>
      </c>
      <c r="G49">
        <v>9</v>
      </c>
      <c r="H49">
        <v>11</v>
      </c>
      <c r="I49">
        <v>12</v>
      </c>
      <c r="J49">
        <v>12</v>
      </c>
      <c r="K49">
        <v>12</v>
      </c>
      <c r="L49">
        <v>10</v>
      </c>
      <c r="M49">
        <v>11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11</v>
      </c>
      <c r="T49">
        <v>11</v>
      </c>
      <c r="U49">
        <v>11</v>
      </c>
      <c r="V49">
        <v>10</v>
      </c>
      <c r="W49">
        <v>8</v>
      </c>
      <c r="X49">
        <v>11</v>
      </c>
      <c r="Y49">
        <v>11</v>
      </c>
      <c r="Z49">
        <v>10</v>
      </c>
      <c r="AA49">
        <v>10</v>
      </c>
      <c r="AB49">
        <v>10</v>
      </c>
      <c r="AC49">
        <v>11</v>
      </c>
      <c r="AD49">
        <v>10</v>
      </c>
      <c r="AE49">
        <v>11</v>
      </c>
      <c r="AF49">
        <v>10</v>
      </c>
      <c r="AG49">
        <v>9</v>
      </c>
      <c r="AH49">
        <v>11</v>
      </c>
      <c r="AI49">
        <v>7</v>
      </c>
      <c r="AJ49">
        <v>10</v>
      </c>
      <c r="AK49">
        <v>12</v>
      </c>
      <c r="AL49">
        <v>12</v>
      </c>
      <c r="AM49">
        <v>11</v>
      </c>
      <c r="AN49">
        <v>11</v>
      </c>
      <c r="AO49">
        <v>10</v>
      </c>
      <c r="AP49">
        <v>9</v>
      </c>
      <c r="AQ49">
        <v>9</v>
      </c>
      <c r="AR49">
        <v>7</v>
      </c>
      <c r="AS49">
        <v>10</v>
      </c>
      <c r="AT49">
        <v>9</v>
      </c>
      <c r="AU49">
        <v>9</v>
      </c>
      <c r="AV49">
        <v>11</v>
      </c>
      <c r="AW49">
        <v>10</v>
      </c>
      <c r="AX49">
        <v>10</v>
      </c>
      <c r="AY49">
        <v>12</v>
      </c>
      <c r="AZ49">
        <v>12</v>
      </c>
      <c r="BA49">
        <v>12</v>
      </c>
      <c r="BB49">
        <v>11</v>
      </c>
      <c r="BC49">
        <v>10</v>
      </c>
      <c r="BD49">
        <v>12</v>
      </c>
      <c r="BE49">
        <v>9</v>
      </c>
      <c r="BF49">
        <v>9</v>
      </c>
      <c r="BG49">
        <v>12</v>
      </c>
      <c r="BH49">
        <v>11</v>
      </c>
      <c r="BI49">
        <v>9</v>
      </c>
      <c r="BJ49">
        <v>11</v>
      </c>
      <c r="BK49">
        <v>10</v>
      </c>
      <c r="BL49">
        <v>10</v>
      </c>
      <c r="BM49">
        <v>11</v>
      </c>
      <c r="BN49">
        <v>11</v>
      </c>
      <c r="BO49">
        <v>11</v>
      </c>
      <c r="BP49">
        <v>11</v>
      </c>
      <c r="BQ49">
        <v>10</v>
      </c>
      <c r="BR49">
        <v>11</v>
      </c>
      <c r="BS49">
        <v>11</v>
      </c>
      <c r="BT49">
        <v>12</v>
      </c>
      <c r="BU49">
        <v>11</v>
      </c>
      <c r="BV49">
        <v>9</v>
      </c>
      <c r="BW49">
        <v>11</v>
      </c>
      <c r="BX49">
        <v>11</v>
      </c>
      <c r="BY49">
        <v>10</v>
      </c>
      <c r="BZ49">
        <v>11</v>
      </c>
      <c r="CA49">
        <v>11</v>
      </c>
      <c r="CB49">
        <v>11</v>
      </c>
      <c r="CC49">
        <v>10</v>
      </c>
      <c r="CD49">
        <v>12</v>
      </c>
      <c r="CE49">
        <v>10</v>
      </c>
      <c r="CF49">
        <v>9</v>
      </c>
      <c r="CG49">
        <v>11</v>
      </c>
      <c r="CH49">
        <v>11</v>
      </c>
      <c r="CI49">
        <v>9</v>
      </c>
      <c r="CJ49">
        <v>11</v>
      </c>
      <c r="CK49">
        <v>11</v>
      </c>
      <c r="CL49">
        <v>9</v>
      </c>
      <c r="CM49">
        <v>10</v>
      </c>
      <c r="CN49">
        <v>10</v>
      </c>
      <c r="CO49">
        <v>12</v>
      </c>
      <c r="CP49">
        <v>12</v>
      </c>
      <c r="CQ49">
        <v>11</v>
      </c>
      <c r="CR49">
        <v>10</v>
      </c>
      <c r="CS49">
        <v>9</v>
      </c>
      <c r="CT49">
        <v>11</v>
      </c>
      <c r="CU49">
        <v>7</v>
      </c>
      <c r="CV49">
        <v>9</v>
      </c>
      <c r="CW49">
        <v>11</v>
      </c>
      <c r="CX49">
        <v>11</v>
      </c>
      <c r="CY49">
        <v>10</v>
      </c>
    </row>
    <row r="50" spans="1:103" x14ac:dyDescent="0.25">
      <c r="A50" s="7">
        <f t="shared" si="18"/>
        <v>0</v>
      </c>
      <c r="B50" s="7">
        <f t="shared" si="19"/>
        <v>0</v>
      </c>
      <c r="C50" t="s">
        <v>3</v>
      </c>
      <c r="D50">
        <v>12</v>
      </c>
      <c r="E50" s="7">
        <v>12</v>
      </c>
      <c r="F50" s="7">
        <v>12</v>
      </c>
      <c r="G50">
        <v>11</v>
      </c>
      <c r="H50">
        <v>10</v>
      </c>
      <c r="I50">
        <v>10</v>
      </c>
      <c r="J50">
        <v>10</v>
      </c>
      <c r="K50">
        <v>10</v>
      </c>
      <c r="L50">
        <v>11</v>
      </c>
      <c r="M50">
        <v>12</v>
      </c>
      <c r="N50">
        <v>9</v>
      </c>
      <c r="O50">
        <v>11</v>
      </c>
      <c r="P50">
        <v>11</v>
      </c>
      <c r="Q50">
        <v>10</v>
      </c>
      <c r="R50">
        <v>11</v>
      </c>
      <c r="S50">
        <v>12</v>
      </c>
      <c r="T50">
        <v>12</v>
      </c>
      <c r="U50">
        <v>12</v>
      </c>
      <c r="V50">
        <v>11</v>
      </c>
      <c r="W50">
        <v>11</v>
      </c>
      <c r="X50">
        <v>12</v>
      </c>
      <c r="Y50">
        <v>12</v>
      </c>
      <c r="Z50">
        <v>12</v>
      </c>
      <c r="AA50">
        <v>12</v>
      </c>
      <c r="AB50">
        <v>11</v>
      </c>
      <c r="AC50">
        <v>10</v>
      </c>
      <c r="AD50">
        <v>11</v>
      </c>
      <c r="AE50">
        <v>12</v>
      </c>
      <c r="AF50">
        <v>12</v>
      </c>
      <c r="AG50">
        <v>11</v>
      </c>
      <c r="AH50">
        <v>12</v>
      </c>
      <c r="AI50">
        <v>11</v>
      </c>
      <c r="AJ50">
        <v>12</v>
      </c>
      <c r="AK50">
        <v>11</v>
      </c>
      <c r="AL50">
        <v>10</v>
      </c>
      <c r="AM50">
        <v>10</v>
      </c>
      <c r="AN50">
        <v>12</v>
      </c>
      <c r="AO50">
        <v>12</v>
      </c>
      <c r="AP50">
        <v>12</v>
      </c>
      <c r="AQ50">
        <v>11</v>
      </c>
      <c r="AR50">
        <v>11</v>
      </c>
      <c r="AS50">
        <v>11</v>
      </c>
      <c r="AT50">
        <v>11</v>
      </c>
      <c r="AU50">
        <v>11</v>
      </c>
      <c r="AV50">
        <v>12</v>
      </c>
      <c r="AW50">
        <v>12</v>
      </c>
      <c r="AX50">
        <v>12</v>
      </c>
      <c r="AY50">
        <v>10</v>
      </c>
      <c r="AZ50">
        <v>10</v>
      </c>
      <c r="BA50">
        <v>10</v>
      </c>
      <c r="BB50">
        <v>12</v>
      </c>
      <c r="BC50">
        <v>11</v>
      </c>
      <c r="BD50">
        <v>11</v>
      </c>
      <c r="BE50">
        <v>12</v>
      </c>
      <c r="BF50">
        <v>12</v>
      </c>
      <c r="BG50">
        <v>10</v>
      </c>
      <c r="BH50">
        <v>12</v>
      </c>
      <c r="BI50">
        <v>12</v>
      </c>
      <c r="BJ50">
        <v>10</v>
      </c>
      <c r="BK50">
        <v>12</v>
      </c>
      <c r="BL50">
        <v>11</v>
      </c>
      <c r="BM50">
        <v>10</v>
      </c>
      <c r="BN50">
        <v>12</v>
      </c>
      <c r="BO50">
        <v>12</v>
      </c>
      <c r="BP50">
        <v>12</v>
      </c>
      <c r="BQ50">
        <v>12</v>
      </c>
      <c r="BR50">
        <v>10</v>
      </c>
      <c r="BS50">
        <v>10</v>
      </c>
      <c r="BT50">
        <v>10</v>
      </c>
      <c r="BU50">
        <v>12</v>
      </c>
      <c r="BV50">
        <v>11</v>
      </c>
      <c r="BW50">
        <v>12</v>
      </c>
      <c r="BX50">
        <v>12</v>
      </c>
      <c r="BY50">
        <v>11</v>
      </c>
      <c r="BZ50">
        <v>12</v>
      </c>
      <c r="CA50">
        <v>12</v>
      </c>
      <c r="CB50">
        <v>9</v>
      </c>
      <c r="CC50">
        <v>11</v>
      </c>
      <c r="CD50">
        <v>9</v>
      </c>
      <c r="CE50">
        <v>12</v>
      </c>
      <c r="CF50">
        <v>11</v>
      </c>
      <c r="CG50">
        <v>12</v>
      </c>
      <c r="CH50">
        <v>12</v>
      </c>
      <c r="CI50">
        <v>12</v>
      </c>
      <c r="CJ50">
        <v>12</v>
      </c>
      <c r="CK50">
        <v>12</v>
      </c>
      <c r="CL50">
        <v>11</v>
      </c>
      <c r="CM50">
        <v>11</v>
      </c>
      <c r="CN50">
        <v>11</v>
      </c>
      <c r="CO50">
        <v>11</v>
      </c>
      <c r="CP50">
        <v>10</v>
      </c>
      <c r="CQ50">
        <v>9</v>
      </c>
      <c r="CR50">
        <v>12</v>
      </c>
      <c r="CS50">
        <v>11</v>
      </c>
      <c r="CT50">
        <v>12</v>
      </c>
      <c r="CU50">
        <v>12</v>
      </c>
      <c r="CV50">
        <v>12</v>
      </c>
      <c r="CW50">
        <v>12</v>
      </c>
      <c r="CX50">
        <v>12</v>
      </c>
      <c r="CY50">
        <v>11</v>
      </c>
    </row>
    <row r="51" spans="1:103" x14ac:dyDescent="0.25">
      <c r="D51" t="s">
        <v>107</v>
      </c>
      <c r="E51" s="7" t="s">
        <v>106</v>
      </c>
      <c r="F51" s="7" t="s">
        <v>108</v>
      </c>
      <c r="G51" t="s">
        <v>106</v>
      </c>
      <c r="H51" t="s">
        <v>105</v>
      </c>
      <c r="I51" t="s">
        <v>106</v>
      </c>
      <c r="J51" t="s">
        <v>108</v>
      </c>
      <c r="K51" t="s">
        <v>106</v>
      </c>
      <c r="L51" t="s">
        <v>107</v>
      </c>
      <c r="M51" t="s">
        <v>106</v>
      </c>
      <c r="N51" t="s">
        <v>106</v>
      </c>
      <c r="O51" t="s">
        <v>108</v>
      </c>
      <c r="P51" t="s">
        <v>106</v>
      </c>
      <c r="Q51" t="s">
        <v>106</v>
      </c>
      <c r="R51" t="s">
        <v>106</v>
      </c>
      <c r="S51" t="s">
        <v>107</v>
      </c>
      <c r="T51" t="s">
        <v>108</v>
      </c>
      <c r="U51" t="s">
        <v>108</v>
      </c>
      <c r="V51" t="s">
        <v>106</v>
      </c>
      <c r="W51" t="s">
        <v>106</v>
      </c>
      <c r="X51" t="s">
        <v>106</v>
      </c>
      <c r="Y51" t="s">
        <v>106</v>
      </c>
      <c r="Z51" t="s">
        <v>106</v>
      </c>
      <c r="AA51" t="s">
        <v>106</v>
      </c>
      <c r="AB51" t="s">
        <v>107</v>
      </c>
      <c r="AC51" t="s">
        <v>108</v>
      </c>
      <c r="AD51" t="s">
        <v>106</v>
      </c>
      <c r="AE51" t="s">
        <v>105</v>
      </c>
      <c r="AF51" t="s">
        <v>106</v>
      </c>
      <c r="AG51" t="s">
        <v>106</v>
      </c>
      <c r="AH51" t="s">
        <v>107</v>
      </c>
      <c r="AI51" t="s">
        <v>107</v>
      </c>
      <c r="AJ51" t="s">
        <v>106</v>
      </c>
      <c r="AK51" t="s">
        <v>106</v>
      </c>
      <c r="AL51" t="s">
        <v>106</v>
      </c>
      <c r="AM51" t="s">
        <v>106</v>
      </c>
      <c r="AN51" t="s">
        <v>107</v>
      </c>
      <c r="AO51" t="s">
        <v>106</v>
      </c>
      <c r="AP51" t="s">
        <v>108</v>
      </c>
      <c r="AQ51" t="s">
        <v>106</v>
      </c>
      <c r="AR51" t="s">
        <v>106</v>
      </c>
      <c r="AS51" t="s">
        <v>108</v>
      </c>
      <c r="AT51" t="s">
        <v>106</v>
      </c>
      <c r="AU51" t="s">
        <v>107</v>
      </c>
      <c r="AV51" t="s">
        <v>106</v>
      </c>
      <c r="AW51" t="s">
        <v>106</v>
      </c>
      <c r="AX51" t="s">
        <v>108</v>
      </c>
      <c r="AY51" t="s">
        <v>106</v>
      </c>
      <c r="AZ51" t="s">
        <v>107</v>
      </c>
      <c r="BA51" t="s">
        <v>107</v>
      </c>
      <c r="BB51" t="s">
        <v>107</v>
      </c>
      <c r="BC51" t="s">
        <v>107</v>
      </c>
      <c r="BD51" t="s">
        <v>106</v>
      </c>
      <c r="BE51" t="s">
        <v>105</v>
      </c>
      <c r="BF51" t="s">
        <v>106</v>
      </c>
      <c r="BG51" t="s">
        <v>106</v>
      </c>
      <c r="BH51" t="s">
        <v>106</v>
      </c>
      <c r="BI51" t="s">
        <v>106</v>
      </c>
      <c r="BJ51" t="s">
        <v>107</v>
      </c>
      <c r="BK51" t="s">
        <v>106</v>
      </c>
      <c r="BL51" t="s">
        <v>106</v>
      </c>
      <c r="BM51" t="s">
        <v>106</v>
      </c>
      <c r="BN51" t="s">
        <v>108</v>
      </c>
      <c r="BO51" t="s">
        <v>107</v>
      </c>
      <c r="BP51" t="s">
        <v>106</v>
      </c>
      <c r="BQ51" t="s">
        <v>108</v>
      </c>
      <c r="BR51" t="s">
        <v>106</v>
      </c>
      <c r="BS51" t="s">
        <v>106</v>
      </c>
      <c r="BT51" t="s">
        <v>106</v>
      </c>
      <c r="BU51" t="s">
        <v>106</v>
      </c>
      <c r="BV51" t="s">
        <v>106</v>
      </c>
      <c r="BW51" t="s">
        <v>108</v>
      </c>
      <c r="BX51" t="s">
        <v>106</v>
      </c>
      <c r="BY51" t="s">
        <v>110</v>
      </c>
      <c r="BZ51" t="s">
        <v>106</v>
      </c>
      <c r="CA51" t="s">
        <v>108</v>
      </c>
      <c r="CB51" t="s">
        <v>106</v>
      </c>
      <c r="CC51" t="s">
        <v>108</v>
      </c>
      <c r="CD51" t="s">
        <v>108</v>
      </c>
      <c r="CE51" t="s">
        <v>106</v>
      </c>
      <c r="CF51" t="s">
        <v>108</v>
      </c>
      <c r="CG51" t="s">
        <v>106</v>
      </c>
      <c r="CH51" t="s">
        <v>105</v>
      </c>
      <c r="CI51" t="s">
        <v>106</v>
      </c>
      <c r="CJ51" t="s">
        <v>108</v>
      </c>
      <c r="CK51" t="s">
        <v>106</v>
      </c>
      <c r="CL51" t="s">
        <v>108</v>
      </c>
      <c r="CM51" t="s">
        <v>107</v>
      </c>
      <c r="CN51" t="s">
        <v>107</v>
      </c>
      <c r="CO51" t="s">
        <v>106</v>
      </c>
      <c r="CP51" t="s">
        <v>106</v>
      </c>
      <c r="CQ51" t="s">
        <v>108</v>
      </c>
      <c r="CR51" t="s">
        <v>106</v>
      </c>
      <c r="CS51" t="s">
        <v>106</v>
      </c>
      <c r="CT51" t="s">
        <v>107</v>
      </c>
      <c r="CU51" t="s">
        <v>106</v>
      </c>
      <c r="CV51" t="s">
        <v>110</v>
      </c>
      <c r="CW51" t="s">
        <v>108</v>
      </c>
      <c r="CX51" t="s">
        <v>106</v>
      </c>
      <c r="CY51" t="s">
        <v>106</v>
      </c>
    </row>
    <row r="52" spans="1:103" x14ac:dyDescent="0.25">
      <c r="D52" t="s">
        <v>107</v>
      </c>
      <c r="E52" s="7" t="s">
        <v>107</v>
      </c>
      <c r="F52" s="7" t="s">
        <v>106</v>
      </c>
      <c r="G52" t="s">
        <v>107</v>
      </c>
      <c r="H52" t="s">
        <v>105</v>
      </c>
      <c r="I52" t="s">
        <v>107</v>
      </c>
      <c r="J52" t="s">
        <v>106</v>
      </c>
      <c r="K52" t="s">
        <v>107</v>
      </c>
      <c r="L52" t="s">
        <v>105</v>
      </c>
      <c r="M52" t="s">
        <v>107</v>
      </c>
      <c r="N52" t="s">
        <v>106</v>
      </c>
      <c r="O52" t="s">
        <v>106</v>
      </c>
      <c r="P52" t="s">
        <v>107</v>
      </c>
      <c r="Q52" t="s">
        <v>107</v>
      </c>
      <c r="R52" t="s">
        <v>106</v>
      </c>
      <c r="S52" t="s">
        <v>107</v>
      </c>
      <c r="T52" t="s">
        <v>106</v>
      </c>
      <c r="U52" t="s">
        <v>108</v>
      </c>
      <c r="V52" t="s">
        <v>107</v>
      </c>
      <c r="W52" t="s">
        <v>107</v>
      </c>
      <c r="X52" t="s">
        <v>105</v>
      </c>
      <c r="Y52" t="s">
        <v>106</v>
      </c>
      <c r="Z52" t="s">
        <v>107</v>
      </c>
      <c r="AA52" t="s">
        <v>105</v>
      </c>
      <c r="AB52" t="s">
        <v>107</v>
      </c>
      <c r="AC52" t="s">
        <v>107</v>
      </c>
      <c r="AD52" t="s">
        <v>106</v>
      </c>
      <c r="AE52" t="s">
        <v>105</v>
      </c>
      <c r="AF52" t="s">
        <v>106</v>
      </c>
      <c r="AG52" t="s">
        <v>105</v>
      </c>
      <c r="AH52" t="s">
        <v>105</v>
      </c>
      <c r="AI52" t="s">
        <v>105</v>
      </c>
      <c r="AJ52" t="s">
        <v>106</v>
      </c>
      <c r="AK52" t="s">
        <v>107</v>
      </c>
      <c r="AL52" t="s">
        <v>107</v>
      </c>
      <c r="AM52" t="s">
        <v>107</v>
      </c>
      <c r="AN52" t="s">
        <v>105</v>
      </c>
      <c r="AO52" t="s">
        <v>106</v>
      </c>
      <c r="AP52" t="s">
        <v>106</v>
      </c>
      <c r="AQ52" t="s">
        <v>107</v>
      </c>
      <c r="AR52" t="s">
        <v>105</v>
      </c>
      <c r="AS52" t="s">
        <v>106</v>
      </c>
      <c r="AT52" t="s">
        <v>106</v>
      </c>
      <c r="AU52" t="s">
        <v>105</v>
      </c>
      <c r="AV52" t="s">
        <v>107</v>
      </c>
      <c r="AW52" t="s">
        <v>107</v>
      </c>
      <c r="AX52" t="s">
        <v>107</v>
      </c>
      <c r="AY52" t="s">
        <v>107</v>
      </c>
      <c r="AZ52" t="s">
        <v>105</v>
      </c>
      <c r="BA52" t="s">
        <v>105</v>
      </c>
      <c r="BB52" t="s">
        <v>105</v>
      </c>
      <c r="BC52" t="s">
        <v>107</v>
      </c>
      <c r="BD52" t="s">
        <v>107</v>
      </c>
      <c r="BE52" t="s">
        <v>105</v>
      </c>
      <c r="BF52" t="s">
        <v>105</v>
      </c>
      <c r="BG52" t="s">
        <v>106</v>
      </c>
      <c r="BH52" t="s">
        <v>105</v>
      </c>
      <c r="BI52" t="s">
        <v>106</v>
      </c>
      <c r="BJ52" t="s">
        <v>107</v>
      </c>
      <c r="BK52" t="s">
        <v>106</v>
      </c>
      <c r="BL52" t="s">
        <v>106</v>
      </c>
      <c r="BM52" t="s">
        <v>106</v>
      </c>
      <c r="BN52" t="s">
        <v>106</v>
      </c>
      <c r="BO52" t="s">
        <v>107</v>
      </c>
      <c r="BP52" t="s">
        <v>106</v>
      </c>
      <c r="BQ52" t="s">
        <v>105</v>
      </c>
      <c r="BR52" t="s">
        <v>107</v>
      </c>
      <c r="BS52" t="s">
        <v>107</v>
      </c>
      <c r="BT52" t="s">
        <v>107</v>
      </c>
      <c r="BU52" t="s">
        <v>106</v>
      </c>
      <c r="BV52" t="s">
        <v>109</v>
      </c>
      <c r="BW52" t="s">
        <v>108</v>
      </c>
      <c r="BX52" t="s">
        <v>107</v>
      </c>
      <c r="BY52" t="s">
        <v>107</v>
      </c>
      <c r="BZ52" t="s">
        <v>107</v>
      </c>
      <c r="CA52" t="s">
        <v>106</v>
      </c>
      <c r="CB52" t="s">
        <v>106</v>
      </c>
      <c r="CC52" t="s">
        <v>105</v>
      </c>
      <c r="CD52" t="s">
        <v>105</v>
      </c>
      <c r="CE52" t="s">
        <v>106</v>
      </c>
      <c r="CF52" t="s">
        <v>106</v>
      </c>
      <c r="CG52" t="s">
        <v>107</v>
      </c>
      <c r="CH52" t="s">
        <v>105</v>
      </c>
      <c r="CI52" t="s">
        <v>107</v>
      </c>
      <c r="CJ52" t="s">
        <v>108</v>
      </c>
      <c r="CK52" t="s">
        <v>107</v>
      </c>
      <c r="CL52" t="s">
        <v>108</v>
      </c>
      <c r="CM52" t="s">
        <v>105</v>
      </c>
      <c r="CN52" t="s">
        <v>107</v>
      </c>
      <c r="CO52" t="s">
        <v>106</v>
      </c>
      <c r="CP52" t="s">
        <v>106</v>
      </c>
      <c r="CQ52" t="s">
        <v>106</v>
      </c>
      <c r="CR52" t="s">
        <v>107</v>
      </c>
      <c r="CS52" t="s">
        <v>105</v>
      </c>
      <c r="CT52" t="s">
        <v>105</v>
      </c>
      <c r="CU52" t="s">
        <v>105</v>
      </c>
      <c r="CV52" t="s">
        <v>106</v>
      </c>
      <c r="CW52" t="s">
        <v>107</v>
      </c>
      <c r="CX52" t="s">
        <v>107</v>
      </c>
      <c r="CY52" t="s">
        <v>107</v>
      </c>
    </row>
    <row r="54" spans="1:103" x14ac:dyDescent="0.25">
      <c r="C54" s="8" t="s">
        <v>37</v>
      </c>
      <c r="D54" s="8" t="s">
        <v>80</v>
      </c>
      <c r="E54" s="10" t="s">
        <v>84</v>
      </c>
      <c r="F54" s="10" t="s">
        <v>85</v>
      </c>
      <c r="I54" s="8" t="s">
        <v>81</v>
      </c>
      <c r="J54" s="8" t="s">
        <v>82</v>
      </c>
      <c r="M54" t="s">
        <v>117</v>
      </c>
    </row>
    <row r="55" spans="1:103" x14ac:dyDescent="0.25">
      <c r="C55" t="s">
        <v>7</v>
      </c>
      <c r="D55" s="7">
        <v>100</v>
      </c>
      <c r="E55" s="7" t="s">
        <v>86</v>
      </c>
      <c r="F55" s="7" t="s">
        <v>86</v>
      </c>
      <c r="I55">
        <v>100</v>
      </c>
      <c r="J55">
        <v>100</v>
      </c>
      <c r="M55" s="16" t="s">
        <v>113</v>
      </c>
      <c r="N55" t="s">
        <v>115</v>
      </c>
      <c r="Q55" t="s">
        <v>111</v>
      </c>
      <c r="R55" t="s">
        <v>112</v>
      </c>
    </row>
    <row r="56" spans="1:103" x14ac:dyDescent="0.25">
      <c r="C56" t="s">
        <v>0</v>
      </c>
      <c r="D56" s="7">
        <v>97</v>
      </c>
      <c r="E56" s="7" t="s">
        <v>87</v>
      </c>
      <c r="F56" s="7" t="s">
        <v>88</v>
      </c>
      <c r="I56">
        <v>95</v>
      </c>
      <c r="J56">
        <v>99</v>
      </c>
      <c r="M56" s="17" t="s">
        <v>105</v>
      </c>
      <c r="N56" s="18">
        <v>4</v>
      </c>
      <c r="Q56" t="s">
        <v>107</v>
      </c>
      <c r="R56" t="s">
        <v>107</v>
      </c>
    </row>
    <row r="57" spans="1:103" x14ac:dyDescent="0.25">
      <c r="C57" t="s">
        <v>5</v>
      </c>
      <c r="D57" s="7">
        <v>89</v>
      </c>
      <c r="E57" s="7" t="s">
        <v>89</v>
      </c>
      <c r="F57" s="7" t="s">
        <v>90</v>
      </c>
      <c r="I57">
        <v>96</v>
      </c>
      <c r="J57">
        <v>95</v>
      </c>
      <c r="M57" s="17" t="s">
        <v>106</v>
      </c>
      <c r="N57" s="18">
        <v>57</v>
      </c>
      <c r="Q57" t="s">
        <v>106</v>
      </c>
      <c r="R57" t="s">
        <v>107</v>
      </c>
    </row>
    <row r="58" spans="1:103" x14ac:dyDescent="0.25">
      <c r="C58" t="s">
        <v>10</v>
      </c>
      <c r="D58" s="7">
        <v>84</v>
      </c>
      <c r="E58" s="7" t="s">
        <v>93</v>
      </c>
      <c r="F58" s="7" t="s">
        <v>91</v>
      </c>
      <c r="I58">
        <v>74</v>
      </c>
      <c r="J58">
        <v>78</v>
      </c>
      <c r="M58" s="17" t="s">
        <v>107</v>
      </c>
      <c r="N58" s="18">
        <v>17</v>
      </c>
      <c r="Q58" t="s">
        <v>108</v>
      </c>
      <c r="R58" t="s">
        <v>106</v>
      </c>
    </row>
    <row r="59" spans="1:103" x14ac:dyDescent="0.25">
      <c r="C59" t="s">
        <v>4</v>
      </c>
      <c r="D59" s="7">
        <v>67</v>
      </c>
      <c r="E59" s="7" t="s">
        <v>95</v>
      </c>
      <c r="F59" s="7" t="s">
        <v>98</v>
      </c>
      <c r="I59">
        <v>60</v>
      </c>
      <c r="J59">
        <v>60</v>
      </c>
      <c r="M59" s="17" t="s">
        <v>110</v>
      </c>
      <c r="N59" s="18">
        <v>2</v>
      </c>
      <c r="Q59" t="s">
        <v>106</v>
      </c>
      <c r="R59" t="s">
        <v>107</v>
      </c>
    </row>
    <row r="60" spans="1:103" x14ac:dyDescent="0.25">
      <c r="C60" t="s">
        <v>9</v>
      </c>
      <c r="D60" s="7">
        <v>78</v>
      </c>
      <c r="E60" s="7" t="s">
        <v>97</v>
      </c>
      <c r="F60" s="7" t="s">
        <v>96</v>
      </c>
      <c r="I60">
        <v>69</v>
      </c>
      <c r="J60">
        <v>72</v>
      </c>
      <c r="M60" s="17" t="s">
        <v>108</v>
      </c>
      <c r="N60" s="18">
        <v>20</v>
      </c>
      <c r="Q60" t="s">
        <v>105</v>
      </c>
      <c r="R60" t="s">
        <v>105</v>
      </c>
    </row>
    <row r="61" spans="1:103" x14ac:dyDescent="0.25">
      <c r="C61" t="s">
        <v>8</v>
      </c>
      <c r="D61" s="7">
        <v>47</v>
      </c>
      <c r="E61" s="7" t="s">
        <v>92</v>
      </c>
      <c r="F61" s="7" t="s">
        <v>94</v>
      </c>
      <c r="I61">
        <v>56</v>
      </c>
      <c r="J61">
        <v>57</v>
      </c>
      <c r="M61" s="17" t="s">
        <v>114</v>
      </c>
      <c r="N61" s="18">
        <v>100</v>
      </c>
      <c r="Q61" t="s">
        <v>106</v>
      </c>
      <c r="R61" t="s">
        <v>107</v>
      </c>
    </row>
    <row r="62" spans="1:103" x14ac:dyDescent="0.25">
      <c r="C62" t="s">
        <v>6</v>
      </c>
      <c r="D62" s="7">
        <v>25</v>
      </c>
      <c r="E62" s="7" t="s">
        <v>99</v>
      </c>
      <c r="F62" s="7" t="s">
        <v>100</v>
      </c>
      <c r="I62">
        <v>41</v>
      </c>
      <c r="J62">
        <v>9</v>
      </c>
      <c r="M62" s="17" t="s">
        <v>118</v>
      </c>
      <c r="Q62" t="s">
        <v>108</v>
      </c>
      <c r="R62" t="s">
        <v>106</v>
      </c>
    </row>
    <row r="63" spans="1:103" x14ac:dyDescent="0.25">
      <c r="C63" t="s">
        <v>11</v>
      </c>
      <c r="D63" s="7">
        <v>13</v>
      </c>
      <c r="E63" s="7" t="s">
        <v>102</v>
      </c>
      <c r="F63" s="7" t="s">
        <v>101</v>
      </c>
      <c r="I63">
        <v>8</v>
      </c>
      <c r="J63">
        <v>30</v>
      </c>
      <c r="M63" s="16" t="s">
        <v>113</v>
      </c>
      <c r="N63" t="s">
        <v>116</v>
      </c>
      <c r="Q63" t="s">
        <v>106</v>
      </c>
      <c r="R63" t="s">
        <v>107</v>
      </c>
    </row>
    <row r="64" spans="1:103" x14ac:dyDescent="0.25">
      <c r="C64" t="s">
        <v>2</v>
      </c>
      <c r="D64" s="7">
        <v>0</v>
      </c>
      <c r="E64" s="7">
        <v>0</v>
      </c>
      <c r="F64" s="7">
        <v>0</v>
      </c>
      <c r="I64">
        <v>0</v>
      </c>
      <c r="J64">
        <v>0</v>
      </c>
      <c r="M64" s="17" t="s">
        <v>105</v>
      </c>
      <c r="N64" s="18">
        <v>25</v>
      </c>
      <c r="Q64" t="s">
        <v>107</v>
      </c>
      <c r="R64" t="s">
        <v>105</v>
      </c>
    </row>
    <row r="65" spans="3:18" x14ac:dyDescent="0.25">
      <c r="C65" t="s">
        <v>1</v>
      </c>
      <c r="D65" s="7">
        <v>0</v>
      </c>
      <c r="E65" s="7">
        <v>1</v>
      </c>
      <c r="F65" s="7">
        <v>0</v>
      </c>
      <c r="I65">
        <v>1</v>
      </c>
      <c r="J65">
        <v>0</v>
      </c>
      <c r="M65" s="17" t="s">
        <v>109</v>
      </c>
      <c r="N65" s="18">
        <v>1</v>
      </c>
      <c r="Q65" t="s">
        <v>106</v>
      </c>
      <c r="R65" t="s">
        <v>107</v>
      </c>
    </row>
    <row r="66" spans="3:18" x14ac:dyDescent="0.25">
      <c r="C66" t="s">
        <v>3</v>
      </c>
      <c r="D66" s="7">
        <v>0</v>
      </c>
      <c r="E66" s="7">
        <v>0</v>
      </c>
      <c r="F66" s="7">
        <v>0</v>
      </c>
      <c r="I66">
        <v>0</v>
      </c>
      <c r="J66">
        <v>0</v>
      </c>
      <c r="M66" s="17" t="s">
        <v>106</v>
      </c>
      <c r="N66" s="18">
        <v>30</v>
      </c>
      <c r="Q66" t="s">
        <v>106</v>
      </c>
      <c r="R66" t="s">
        <v>106</v>
      </c>
    </row>
    <row r="67" spans="3:18" x14ac:dyDescent="0.25">
      <c r="M67" s="17" t="s">
        <v>107</v>
      </c>
      <c r="N67" s="18">
        <v>40</v>
      </c>
      <c r="Q67" t="s">
        <v>108</v>
      </c>
      <c r="R67" t="s">
        <v>106</v>
      </c>
    </row>
    <row r="68" spans="3:18" x14ac:dyDescent="0.25">
      <c r="M68" s="17" t="s">
        <v>108</v>
      </c>
      <c r="N68" s="18">
        <v>4</v>
      </c>
      <c r="Q68" t="s">
        <v>106</v>
      </c>
      <c r="R68" t="s">
        <v>107</v>
      </c>
    </row>
    <row r="69" spans="3:18" x14ac:dyDescent="0.25">
      <c r="M69" s="17" t="s">
        <v>114</v>
      </c>
      <c r="N69" s="18">
        <v>100</v>
      </c>
      <c r="Q69" t="s">
        <v>106</v>
      </c>
      <c r="R69" t="s">
        <v>107</v>
      </c>
    </row>
    <row r="70" spans="3:18" x14ac:dyDescent="0.25">
      <c r="Q70" t="s">
        <v>106</v>
      </c>
      <c r="R70" t="s">
        <v>106</v>
      </c>
    </row>
    <row r="71" spans="3:18" x14ac:dyDescent="0.25">
      <c r="Q71" t="s">
        <v>107</v>
      </c>
      <c r="R71" t="s">
        <v>107</v>
      </c>
    </row>
    <row r="72" spans="3:18" x14ac:dyDescent="0.25">
      <c r="Q72" t="s">
        <v>108</v>
      </c>
      <c r="R72" t="s">
        <v>106</v>
      </c>
    </row>
    <row r="73" spans="3:18" x14ac:dyDescent="0.25">
      <c r="Q73" t="s">
        <v>108</v>
      </c>
      <c r="R73" t="s">
        <v>108</v>
      </c>
    </row>
    <row r="74" spans="3:18" x14ac:dyDescent="0.25">
      <c r="Q74" t="s">
        <v>106</v>
      </c>
      <c r="R74" t="s">
        <v>107</v>
      </c>
    </row>
    <row r="75" spans="3:18" x14ac:dyDescent="0.25">
      <c r="Q75" t="s">
        <v>106</v>
      </c>
      <c r="R75" t="s">
        <v>107</v>
      </c>
    </row>
    <row r="76" spans="3:18" x14ac:dyDescent="0.25">
      <c r="Q76" t="s">
        <v>106</v>
      </c>
      <c r="R76" t="s">
        <v>105</v>
      </c>
    </row>
    <row r="77" spans="3:18" x14ac:dyDescent="0.25">
      <c r="Q77" t="s">
        <v>106</v>
      </c>
      <c r="R77" t="s">
        <v>106</v>
      </c>
    </row>
    <row r="78" spans="3:18" x14ac:dyDescent="0.25">
      <c r="Q78" t="s">
        <v>106</v>
      </c>
      <c r="R78" t="s">
        <v>107</v>
      </c>
    </row>
    <row r="79" spans="3:18" x14ac:dyDescent="0.25">
      <c r="Q79" t="s">
        <v>106</v>
      </c>
      <c r="R79" t="s">
        <v>105</v>
      </c>
    </row>
    <row r="80" spans="3:18" x14ac:dyDescent="0.25">
      <c r="Q80" t="s">
        <v>107</v>
      </c>
      <c r="R80" t="s">
        <v>107</v>
      </c>
    </row>
    <row r="81" spans="17:18" x14ac:dyDescent="0.25">
      <c r="Q81" t="s">
        <v>108</v>
      </c>
      <c r="R81" t="s">
        <v>107</v>
      </c>
    </row>
    <row r="82" spans="17:18" x14ac:dyDescent="0.25">
      <c r="Q82" t="s">
        <v>106</v>
      </c>
      <c r="R82" t="s">
        <v>106</v>
      </c>
    </row>
    <row r="83" spans="17:18" x14ac:dyDescent="0.25">
      <c r="Q83" t="s">
        <v>105</v>
      </c>
      <c r="R83" t="s">
        <v>105</v>
      </c>
    </row>
    <row r="84" spans="17:18" x14ac:dyDescent="0.25">
      <c r="Q84" t="s">
        <v>106</v>
      </c>
      <c r="R84" t="s">
        <v>106</v>
      </c>
    </row>
    <row r="85" spans="17:18" x14ac:dyDescent="0.25">
      <c r="Q85" t="s">
        <v>106</v>
      </c>
      <c r="R85" t="s">
        <v>105</v>
      </c>
    </row>
    <row r="86" spans="17:18" x14ac:dyDescent="0.25">
      <c r="Q86" t="s">
        <v>107</v>
      </c>
      <c r="R86" t="s">
        <v>105</v>
      </c>
    </row>
    <row r="87" spans="17:18" x14ac:dyDescent="0.25">
      <c r="Q87" t="s">
        <v>107</v>
      </c>
      <c r="R87" t="s">
        <v>105</v>
      </c>
    </row>
    <row r="88" spans="17:18" x14ac:dyDescent="0.25">
      <c r="Q88" t="s">
        <v>106</v>
      </c>
      <c r="R88" t="s">
        <v>106</v>
      </c>
    </row>
    <row r="89" spans="17:18" x14ac:dyDescent="0.25">
      <c r="Q89" t="s">
        <v>106</v>
      </c>
      <c r="R89" t="s">
        <v>107</v>
      </c>
    </row>
    <row r="90" spans="17:18" x14ac:dyDescent="0.25">
      <c r="Q90" t="s">
        <v>106</v>
      </c>
      <c r="R90" t="s">
        <v>107</v>
      </c>
    </row>
    <row r="91" spans="17:18" x14ac:dyDescent="0.25">
      <c r="Q91" t="s">
        <v>106</v>
      </c>
      <c r="R91" t="s">
        <v>107</v>
      </c>
    </row>
    <row r="92" spans="17:18" x14ac:dyDescent="0.25">
      <c r="Q92" t="s">
        <v>107</v>
      </c>
      <c r="R92" t="s">
        <v>105</v>
      </c>
    </row>
    <row r="93" spans="17:18" x14ac:dyDescent="0.25">
      <c r="Q93" t="s">
        <v>106</v>
      </c>
      <c r="R93" t="s">
        <v>106</v>
      </c>
    </row>
    <row r="94" spans="17:18" x14ac:dyDescent="0.25">
      <c r="Q94" t="s">
        <v>108</v>
      </c>
      <c r="R94" t="s">
        <v>106</v>
      </c>
    </row>
    <row r="95" spans="17:18" x14ac:dyDescent="0.25">
      <c r="Q95" t="s">
        <v>106</v>
      </c>
      <c r="R95" t="s">
        <v>107</v>
      </c>
    </row>
    <row r="96" spans="17:18" x14ac:dyDescent="0.25">
      <c r="Q96" t="s">
        <v>106</v>
      </c>
      <c r="R96" t="s">
        <v>105</v>
      </c>
    </row>
    <row r="97" spans="17:18" x14ac:dyDescent="0.25">
      <c r="Q97" t="s">
        <v>108</v>
      </c>
      <c r="R97" t="s">
        <v>106</v>
      </c>
    </row>
    <row r="98" spans="17:18" x14ac:dyDescent="0.25">
      <c r="Q98" t="s">
        <v>106</v>
      </c>
      <c r="R98" t="s">
        <v>106</v>
      </c>
    </row>
    <row r="99" spans="17:18" x14ac:dyDescent="0.25">
      <c r="Q99" t="s">
        <v>107</v>
      </c>
      <c r="R99" t="s">
        <v>105</v>
      </c>
    </row>
    <row r="100" spans="17:18" x14ac:dyDescent="0.25">
      <c r="Q100" t="s">
        <v>106</v>
      </c>
      <c r="R100" t="s">
        <v>107</v>
      </c>
    </row>
    <row r="101" spans="17:18" x14ac:dyDescent="0.25">
      <c r="Q101" t="s">
        <v>106</v>
      </c>
      <c r="R101" t="s">
        <v>107</v>
      </c>
    </row>
    <row r="102" spans="17:18" x14ac:dyDescent="0.25">
      <c r="Q102" t="s">
        <v>108</v>
      </c>
      <c r="R102" t="s">
        <v>107</v>
      </c>
    </row>
    <row r="103" spans="17:18" x14ac:dyDescent="0.25">
      <c r="Q103" t="s">
        <v>106</v>
      </c>
      <c r="R103" t="s">
        <v>107</v>
      </c>
    </row>
    <row r="104" spans="17:18" x14ac:dyDescent="0.25">
      <c r="Q104" t="s">
        <v>107</v>
      </c>
      <c r="R104" t="s">
        <v>105</v>
      </c>
    </row>
    <row r="105" spans="17:18" x14ac:dyDescent="0.25">
      <c r="Q105" t="s">
        <v>107</v>
      </c>
      <c r="R105" t="s">
        <v>105</v>
      </c>
    </row>
    <row r="106" spans="17:18" x14ac:dyDescent="0.25">
      <c r="Q106" t="s">
        <v>107</v>
      </c>
      <c r="R106" t="s">
        <v>105</v>
      </c>
    </row>
    <row r="107" spans="17:18" x14ac:dyDescent="0.25">
      <c r="Q107" t="s">
        <v>107</v>
      </c>
      <c r="R107" t="s">
        <v>107</v>
      </c>
    </row>
    <row r="108" spans="17:18" x14ac:dyDescent="0.25">
      <c r="Q108" t="s">
        <v>106</v>
      </c>
      <c r="R108" t="s">
        <v>107</v>
      </c>
    </row>
    <row r="109" spans="17:18" x14ac:dyDescent="0.25">
      <c r="Q109" t="s">
        <v>105</v>
      </c>
      <c r="R109" t="s">
        <v>105</v>
      </c>
    </row>
    <row r="110" spans="17:18" x14ac:dyDescent="0.25">
      <c r="Q110" t="s">
        <v>106</v>
      </c>
      <c r="R110" t="s">
        <v>105</v>
      </c>
    </row>
    <row r="111" spans="17:18" x14ac:dyDescent="0.25">
      <c r="Q111" t="s">
        <v>106</v>
      </c>
      <c r="R111" t="s">
        <v>106</v>
      </c>
    </row>
    <row r="112" spans="17:18" x14ac:dyDescent="0.25">
      <c r="Q112" t="s">
        <v>106</v>
      </c>
      <c r="R112" t="s">
        <v>105</v>
      </c>
    </row>
    <row r="113" spans="17:18" x14ac:dyDescent="0.25">
      <c r="Q113" t="s">
        <v>106</v>
      </c>
      <c r="R113" t="s">
        <v>106</v>
      </c>
    </row>
    <row r="114" spans="17:18" x14ac:dyDescent="0.25">
      <c r="Q114" t="s">
        <v>107</v>
      </c>
      <c r="R114" t="s">
        <v>107</v>
      </c>
    </row>
    <row r="115" spans="17:18" x14ac:dyDescent="0.25">
      <c r="Q115" t="s">
        <v>106</v>
      </c>
      <c r="R115" t="s">
        <v>106</v>
      </c>
    </row>
    <row r="116" spans="17:18" x14ac:dyDescent="0.25">
      <c r="Q116" t="s">
        <v>106</v>
      </c>
      <c r="R116" t="s">
        <v>106</v>
      </c>
    </row>
    <row r="117" spans="17:18" x14ac:dyDescent="0.25">
      <c r="Q117" t="s">
        <v>106</v>
      </c>
      <c r="R117" t="s">
        <v>106</v>
      </c>
    </row>
    <row r="118" spans="17:18" x14ac:dyDescent="0.25">
      <c r="Q118" t="s">
        <v>108</v>
      </c>
      <c r="R118" t="s">
        <v>106</v>
      </c>
    </row>
    <row r="119" spans="17:18" x14ac:dyDescent="0.25">
      <c r="Q119" t="s">
        <v>107</v>
      </c>
      <c r="R119" t="s">
        <v>107</v>
      </c>
    </row>
    <row r="120" spans="17:18" x14ac:dyDescent="0.25">
      <c r="Q120" t="s">
        <v>106</v>
      </c>
      <c r="R120" t="s">
        <v>106</v>
      </c>
    </row>
    <row r="121" spans="17:18" x14ac:dyDescent="0.25">
      <c r="Q121" t="s">
        <v>108</v>
      </c>
      <c r="R121" t="s">
        <v>105</v>
      </c>
    </row>
    <row r="122" spans="17:18" x14ac:dyDescent="0.25">
      <c r="Q122" t="s">
        <v>106</v>
      </c>
      <c r="R122" t="s">
        <v>107</v>
      </c>
    </row>
    <row r="123" spans="17:18" x14ac:dyDescent="0.25">
      <c r="Q123" t="s">
        <v>106</v>
      </c>
      <c r="R123" t="s">
        <v>107</v>
      </c>
    </row>
    <row r="124" spans="17:18" x14ac:dyDescent="0.25">
      <c r="Q124" t="s">
        <v>106</v>
      </c>
      <c r="R124" t="s">
        <v>107</v>
      </c>
    </row>
    <row r="125" spans="17:18" x14ac:dyDescent="0.25">
      <c r="Q125" t="s">
        <v>106</v>
      </c>
      <c r="R125" t="s">
        <v>106</v>
      </c>
    </row>
    <row r="126" spans="17:18" x14ac:dyDescent="0.25">
      <c r="Q126" t="s">
        <v>106</v>
      </c>
      <c r="R126" t="s">
        <v>109</v>
      </c>
    </row>
    <row r="127" spans="17:18" x14ac:dyDescent="0.25">
      <c r="Q127" t="s">
        <v>108</v>
      </c>
      <c r="R127" t="s">
        <v>108</v>
      </c>
    </row>
    <row r="128" spans="17:18" x14ac:dyDescent="0.25">
      <c r="Q128" t="s">
        <v>106</v>
      </c>
      <c r="R128" t="s">
        <v>107</v>
      </c>
    </row>
    <row r="129" spans="17:18" x14ac:dyDescent="0.25">
      <c r="Q129" t="s">
        <v>110</v>
      </c>
      <c r="R129" t="s">
        <v>107</v>
      </c>
    </row>
    <row r="130" spans="17:18" x14ac:dyDescent="0.25">
      <c r="Q130" t="s">
        <v>106</v>
      </c>
      <c r="R130" t="s">
        <v>107</v>
      </c>
    </row>
    <row r="131" spans="17:18" x14ac:dyDescent="0.25">
      <c r="Q131" t="s">
        <v>108</v>
      </c>
      <c r="R131" t="s">
        <v>106</v>
      </c>
    </row>
    <row r="132" spans="17:18" x14ac:dyDescent="0.25">
      <c r="Q132" t="s">
        <v>106</v>
      </c>
      <c r="R132" t="s">
        <v>106</v>
      </c>
    </row>
    <row r="133" spans="17:18" x14ac:dyDescent="0.25">
      <c r="Q133" t="s">
        <v>108</v>
      </c>
      <c r="R133" t="s">
        <v>105</v>
      </c>
    </row>
    <row r="134" spans="17:18" x14ac:dyDescent="0.25">
      <c r="Q134" t="s">
        <v>108</v>
      </c>
      <c r="R134" t="s">
        <v>105</v>
      </c>
    </row>
    <row r="135" spans="17:18" x14ac:dyDescent="0.25">
      <c r="Q135" t="s">
        <v>106</v>
      </c>
      <c r="R135" t="s">
        <v>106</v>
      </c>
    </row>
    <row r="136" spans="17:18" x14ac:dyDescent="0.25">
      <c r="Q136" t="s">
        <v>108</v>
      </c>
      <c r="R136" t="s">
        <v>106</v>
      </c>
    </row>
    <row r="137" spans="17:18" x14ac:dyDescent="0.25">
      <c r="Q137" t="s">
        <v>106</v>
      </c>
      <c r="R137" t="s">
        <v>107</v>
      </c>
    </row>
    <row r="138" spans="17:18" x14ac:dyDescent="0.25">
      <c r="Q138" t="s">
        <v>105</v>
      </c>
      <c r="R138" t="s">
        <v>105</v>
      </c>
    </row>
    <row r="139" spans="17:18" x14ac:dyDescent="0.25">
      <c r="Q139" t="s">
        <v>106</v>
      </c>
      <c r="R139" t="s">
        <v>107</v>
      </c>
    </row>
    <row r="140" spans="17:18" x14ac:dyDescent="0.25">
      <c r="Q140" t="s">
        <v>108</v>
      </c>
      <c r="R140" t="s">
        <v>108</v>
      </c>
    </row>
    <row r="141" spans="17:18" x14ac:dyDescent="0.25">
      <c r="Q141" t="s">
        <v>106</v>
      </c>
      <c r="R141" t="s">
        <v>107</v>
      </c>
    </row>
    <row r="142" spans="17:18" x14ac:dyDescent="0.25">
      <c r="Q142" t="s">
        <v>108</v>
      </c>
      <c r="R142" t="s">
        <v>108</v>
      </c>
    </row>
    <row r="143" spans="17:18" x14ac:dyDescent="0.25">
      <c r="Q143" t="s">
        <v>107</v>
      </c>
      <c r="R143" t="s">
        <v>105</v>
      </c>
    </row>
    <row r="144" spans="17:18" x14ac:dyDescent="0.25">
      <c r="Q144" t="s">
        <v>107</v>
      </c>
      <c r="R144" t="s">
        <v>107</v>
      </c>
    </row>
    <row r="145" spans="17:18" x14ac:dyDescent="0.25">
      <c r="Q145" t="s">
        <v>106</v>
      </c>
      <c r="R145" t="s">
        <v>106</v>
      </c>
    </row>
    <row r="146" spans="17:18" x14ac:dyDescent="0.25">
      <c r="Q146" t="s">
        <v>106</v>
      </c>
      <c r="R146" t="s">
        <v>106</v>
      </c>
    </row>
    <row r="147" spans="17:18" x14ac:dyDescent="0.25">
      <c r="Q147" t="s">
        <v>108</v>
      </c>
      <c r="R147" t="s">
        <v>106</v>
      </c>
    </row>
    <row r="148" spans="17:18" x14ac:dyDescent="0.25">
      <c r="Q148" t="s">
        <v>106</v>
      </c>
      <c r="R148" t="s">
        <v>107</v>
      </c>
    </row>
    <row r="149" spans="17:18" x14ac:dyDescent="0.25">
      <c r="Q149" t="s">
        <v>106</v>
      </c>
      <c r="R149" t="s">
        <v>105</v>
      </c>
    </row>
    <row r="150" spans="17:18" x14ac:dyDescent="0.25">
      <c r="Q150" t="s">
        <v>107</v>
      </c>
      <c r="R150" t="s">
        <v>105</v>
      </c>
    </row>
    <row r="151" spans="17:18" x14ac:dyDescent="0.25">
      <c r="Q151" t="s">
        <v>106</v>
      </c>
      <c r="R151" t="s">
        <v>105</v>
      </c>
    </row>
    <row r="152" spans="17:18" x14ac:dyDescent="0.25">
      <c r="Q152" t="s">
        <v>110</v>
      </c>
      <c r="R152" t="s">
        <v>106</v>
      </c>
    </row>
    <row r="153" spans="17:18" x14ac:dyDescent="0.25">
      <c r="Q153" t="s">
        <v>108</v>
      </c>
      <c r="R153" t="s">
        <v>107</v>
      </c>
    </row>
    <row r="154" spans="17:18" x14ac:dyDescent="0.25">
      <c r="Q154" t="s">
        <v>106</v>
      </c>
      <c r="R154" t="s">
        <v>107</v>
      </c>
    </row>
    <row r="155" spans="17:18" x14ac:dyDescent="0.25">
      <c r="Q155" t="s">
        <v>106</v>
      </c>
      <c r="R155" t="s">
        <v>107</v>
      </c>
    </row>
  </sheetData>
  <sortState xmlns:xlrd2="http://schemas.microsoft.com/office/spreadsheetml/2017/richdata2" ref="B21:D32">
    <sortCondition ref="B21:B32"/>
  </sortState>
  <pageMargins left="0.7" right="0.7" top="0.75" bottom="0.75" header="0.3" footer="0.3"/>
  <pageSetup orientation="portrait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A03AF-A3D2-4838-9A41-894E96F9C998}">
  <sheetPr codeName="Sheet2"/>
  <dimension ref="B2:O170"/>
  <sheetViews>
    <sheetView topLeftCell="A134" workbookViewId="0">
      <selection activeCell="F3" sqref="F3"/>
    </sheetView>
  </sheetViews>
  <sheetFormatPr defaultRowHeight="15" x14ac:dyDescent="0.25"/>
  <cols>
    <col min="3" max="3" width="5.28515625" bestFit="1" customWidth="1"/>
    <col min="4" max="4" width="27.85546875" bestFit="1" customWidth="1"/>
    <col min="5" max="5" width="30.42578125" bestFit="1" customWidth="1"/>
    <col min="6" max="6" width="20.140625" customWidth="1"/>
    <col min="7" max="8" width="6.85546875" bestFit="1" customWidth="1"/>
    <col min="9" max="9" width="27.85546875" bestFit="1" customWidth="1"/>
    <col min="10" max="10" width="30.42578125" bestFit="1" customWidth="1"/>
    <col min="11" max="11" width="10.7109375" bestFit="1" customWidth="1"/>
    <col min="14" max="14" width="27.85546875" bestFit="1" customWidth="1"/>
    <col min="15" max="15" width="30.42578125" bestFit="1" customWidth="1"/>
  </cols>
  <sheetData>
    <row r="2" spans="2:15" x14ac:dyDescent="0.25">
      <c r="B2" s="1" t="s">
        <v>62</v>
      </c>
      <c r="C2" s="1" t="s">
        <v>42</v>
      </c>
      <c r="D2" s="1" t="s">
        <v>36</v>
      </c>
      <c r="E2" s="1" t="s">
        <v>37</v>
      </c>
      <c r="F2" s="1" t="s">
        <v>65</v>
      </c>
      <c r="G2" s="1" t="s">
        <v>38</v>
      </c>
      <c r="H2" s="1" t="s">
        <v>39</v>
      </c>
      <c r="I2" s="1" t="s">
        <v>41</v>
      </c>
      <c r="J2" s="1" t="s">
        <v>40</v>
      </c>
      <c r="K2" s="1" t="s">
        <v>63</v>
      </c>
      <c r="L2" s="1" t="s">
        <v>64</v>
      </c>
    </row>
    <row r="3" spans="2:15" x14ac:dyDescent="0.25">
      <c r="B3">
        <v>0</v>
      </c>
      <c r="C3">
        <v>1</v>
      </c>
      <c r="D3" t="s">
        <v>34</v>
      </c>
      <c r="E3" t="s">
        <v>10</v>
      </c>
      <c r="F3" t="str">
        <f>E3&amp;C3</f>
        <v>Greg Smith1</v>
      </c>
      <c r="G3">
        <v>82</v>
      </c>
      <c r="H3">
        <v>104</v>
      </c>
      <c r="I3" t="s">
        <v>35</v>
      </c>
      <c r="J3" t="s">
        <v>11</v>
      </c>
      <c r="K3">
        <f>IF(G3=0,0,IF(G3=_xlfn.MAXIFS($G$3:$G$170,$C$3:$C$170,C3),1,0))</f>
        <v>0</v>
      </c>
      <c r="L3">
        <f>IF(G3=0,0,IF(G3=_xlfn.MINIFS($G$3:$G$170,$C$3:$C$170,C3),1,0))</f>
        <v>1</v>
      </c>
      <c r="N3" t="s">
        <v>24</v>
      </c>
      <c r="O3" t="s">
        <v>0</v>
      </c>
    </row>
    <row r="4" spans="2:15" x14ac:dyDescent="0.25">
      <c r="B4">
        <v>1</v>
      </c>
      <c r="C4">
        <v>1</v>
      </c>
      <c r="D4" t="s">
        <v>27</v>
      </c>
      <c r="E4" t="s">
        <v>3</v>
      </c>
      <c r="F4" t="str">
        <f t="shared" ref="F4:F67" si="0">E4&amp;C4</f>
        <v>Andrew Joynt1</v>
      </c>
      <c r="G4">
        <v>86</v>
      </c>
      <c r="H4">
        <v>101</v>
      </c>
      <c r="I4" t="s">
        <v>26</v>
      </c>
      <c r="J4" t="s">
        <v>2</v>
      </c>
      <c r="K4">
        <f t="shared" ref="K4:K67" si="1">IF(G4=0,0,IF(G4=_xlfn.MAXIFS($G$3:$G$170,$C$3:$C$170,C4),1,0))</f>
        <v>0</v>
      </c>
      <c r="L4">
        <f t="shared" ref="L4:L67" si="2">IF(G4=0,0,IF(G4=_xlfn.MINIFS($G$3:$G$170,$C$3:$C$170,C4),1,0))</f>
        <v>0</v>
      </c>
      <c r="N4" t="s">
        <v>26</v>
      </c>
      <c r="O4" t="s">
        <v>2</v>
      </c>
    </row>
    <row r="5" spans="2:15" x14ac:dyDescent="0.25">
      <c r="B5">
        <v>0</v>
      </c>
      <c r="C5">
        <v>1</v>
      </c>
      <c r="D5" t="s">
        <v>26</v>
      </c>
      <c r="E5" t="s">
        <v>2</v>
      </c>
      <c r="F5" t="str">
        <f t="shared" si="0"/>
        <v>William Schager1</v>
      </c>
      <c r="G5">
        <v>101</v>
      </c>
      <c r="H5">
        <v>86</v>
      </c>
      <c r="I5" t="s">
        <v>27</v>
      </c>
      <c r="J5" t="s">
        <v>3</v>
      </c>
      <c r="K5">
        <f t="shared" si="1"/>
        <v>0</v>
      </c>
      <c r="L5">
        <f t="shared" si="2"/>
        <v>0</v>
      </c>
      <c r="N5" t="s">
        <v>28</v>
      </c>
      <c r="O5" t="s">
        <v>4</v>
      </c>
    </row>
    <row r="6" spans="2:15" x14ac:dyDescent="0.25">
      <c r="B6">
        <v>0</v>
      </c>
      <c r="C6">
        <v>1</v>
      </c>
      <c r="D6" t="s">
        <v>30</v>
      </c>
      <c r="E6" t="s">
        <v>6</v>
      </c>
      <c r="F6" t="str">
        <f t="shared" si="0"/>
        <v>Karl Richardson1</v>
      </c>
      <c r="G6">
        <v>102</v>
      </c>
      <c r="H6">
        <v>148</v>
      </c>
      <c r="I6" t="s">
        <v>31</v>
      </c>
      <c r="J6" t="s">
        <v>7</v>
      </c>
      <c r="K6">
        <f t="shared" si="1"/>
        <v>0</v>
      </c>
      <c r="L6">
        <f t="shared" si="2"/>
        <v>0</v>
      </c>
      <c r="N6" t="s">
        <v>30</v>
      </c>
      <c r="O6" t="s">
        <v>6</v>
      </c>
    </row>
    <row r="7" spans="2:15" x14ac:dyDescent="0.25">
      <c r="B7">
        <v>1</v>
      </c>
      <c r="C7">
        <v>1</v>
      </c>
      <c r="D7" t="s">
        <v>35</v>
      </c>
      <c r="E7" t="s">
        <v>11</v>
      </c>
      <c r="F7" t="str">
        <f t="shared" si="0"/>
        <v>Stephen Joynt1</v>
      </c>
      <c r="G7">
        <v>104</v>
      </c>
      <c r="H7">
        <v>82</v>
      </c>
      <c r="I7" t="s">
        <v>34</v>
      </c>
      <c r="J7" t="s">
        <v>10</v>
      </c>
      <c r="K7">
        <f t="shared" si="1"/>
        <v>0</v>
      </c>
      <c r="L7">
        <f t="shared" si="2"/>
        <v>0</v>
      </c>
      <c r="N7" t="s">
        <v>32</v>
      </c>
      <c r="O7" t="s">
        <v>8</v>
      </c>
    </row>
    <row r="8" spans="2:15" x14ac:dyDescent="0.25">
      <c r="B8">
        <v>0</v>
      </c>
      <c r="C8">
        <v>1</v>
      </c>
      <c r="D8" t="s">
        <v>28</v>
      </c>
      <c r="E8" t="s">
        <v>4</v>
      </c>
      <c r="F8" t="str">
        <f t="shared" si="0"/>
        <v>Paulo Silva1</v>
      </c>
      <c r="G8">
        <v>113</v>
      </c>
      <c r="H8">
        <v>136</v>
      </c>
      <c r="I8" t="s">
        <v>29</v>
      </c>
      <c r="J8" t="s">
        <v>5</v>
      </c>
      <c r="K8">
        <f t="shared" si="1"/>
        <v>0</v>
      </c>
      <c r="L8">
        <f t="shared" si="2"/>
        <v>0</v>
      </c>
      <c r="N8" t="s">
        <v>34</v>
      </c>
      <c r="O8" t="s">
        <v>10</v>
      </c>
    </row>
    <row r="9" spans="2:15" x14ac:dyDescent="0.25">
      <c r="B9">
        <v>1</v>
      </c>
      <c r="C9">
        <v>1</v>
      </c>
      <c r="D9" t="s">
        <v>25</v>
      </c>
      <c r="E9" t="s">
        <v>1</v>
      </c>
      <c r="F9" t="str">
        <f t="shared" si="0"/>
        <v>Robert Hilton1</v>
      </c>
      <c r="G9">
        <v>119</v>
      </c>
      <c r="H9">
        <v>126</v>
      </c>
      <c r="I9" t="s">
        <v>24</v>
      </c>
      <c r="J9" t="s">
        <v>0</v>
      </c>
      <c r="K9">
        <f t="shared" si="1"/>
        <v>0</v>
      </c>
      <c r="L9">
        <f t="shared" si="2"/>
        <v>0</v>
      </c>
      <c r="N9" t="s">
        <v>25</v>
      </c>
      <c r="O9" t="s">
        <v>1</v>
      </c>
    </row>
    <row r="10" spans="2:15" x14ac:dyDescent="0.25">
      <c r="B10">
        <v>0</v>
      </c>
      <c r="C10">
        <v>1</v>
      </c>
      <c r="D10" t="s">
        <v>24</v>
      </c>
      <c r="E10" t="s">
        <v>0</v>
      </c>
      <c r="F10" t="str">
        <f t="shared" si="0"/>
        <v>Dan Cohen1</v>
      </c>
      <c r="G10">
        <v>126</v>
      </c>
      <c r="H10">
        <v>119</v>
      </c>
      <c r="I10" t="s">
        <v>25</v>
      </c>
      <c r="J10" t="s">
        <v>1</v>
      </c>
      <c r="K10">
        <f t="shared" si="1"/>
        <v>0</v>
      </c>
      <c r="L10">
        <f t="shared" si="2"/>
        <v>0</v>
      </c>
      <c r="N10" t="s">
        <v>27</v>
      </c>
      <c r="O10" t="s">
        <v>3</v>
      </c>
    </row>
    <row r="11" spans="2:15" x14ac:dyDescent="0.25">
      <c r="B11">
        <v>1</v>
      </c>
      <c r="C11">
        <v>1</v>
      </c>
      <c r="D11" t="s">
        <v>29</v>
      </c>
      <c r="E11" t="s">
        <v>5</v>
      </c>
      <c r="F11" t="str">
        <f t="shared" si="0"/>
        <v>mark silva1</v>
      </c>
      <c r="G11">
        <v>136</v>
      </c>
      <c r="H11">
        <v>113</v>
      </c>
      <c r="I11" t="s">
        <v>28</v>
      </c>
      <c r="J11" t="s">
        <v>4</v>
      </c>
      <c r="K11">
        <f t="shared" si="1"/>
        <v>0</v>
      </c>
      <c r="L11">
        <f t="shared" si="2"/>
        <v>0</v>
      </c>
      <c r="N11" t="s">
        <v>29</v>
      </c>
      <c r="O11" t="s">
        <v>5</v>
      </c>
    </row>
    <row r="12" spans="2:15" x14ac:dyDescent="0.25">
      <c r="B12">
        <v>0</v>
      </c>
      <c r="C12">
        <v>1</v>
      </c>
      <c r="D12" t="s">
        <v>32</v>
      </c>
      <c r="E12" t="s">
        <v>8</v>
      </c>
      <c r="F12" t="str">
        <f t="shared" si="0"/>
        <v>Emile Chin-Dickey1</v>
      </c>
      <c r="G12">
        <v>138</v>
      </c>
      <c r="H12">
        <v>140</v>
      </c>
      <c r="I12" t="s">
        <v>33</v>
      </c>
      <c r="J12" t="s">
        <v>9</v>
      </c>
      <c r="K12">
        <f t="shared" si="1"/>
        <v>0</v>
      </c>
      <c r="L12">
        <f t="shared" si="2"/>
        <v>0</v>
      </c>
      <c r="N12" t="s">
        <v>31</v>
      </c>
      <c r="O12" t="s">
        <v>7</v>
      </c>
    </row>
    <row r="13" spans="2:15" x14ac:dyDescent="0.25">
      <c r="B13">
        <v>1</v>
      </c>
      <c r="C13">
        <v>1</v>
      </c>
      <c r="D13" t="s">
        <v>33</v>
      </c>
      <c r="E13" t="s">
        <v>9</v>
      </c>
      <c r="F13" t="str">
        <f t="shared" si="0"/>
        <v>Jesse Hershman, Rafael Dionello1</v>
      </c>
      <c r="G13">
        <v>140</v>
      </c>
      <c r="H13">
        <v>138</v>
      </c>
      <c r="I13" t="s">
        <v>32</v>
      </c>
      <c r="J13" t="s">
        <v>8</v>
      </c>
      <c r="K13">
        <f t="shared" si="1"/>
        <v>0</v>
      </c>
      <c r="L13">
        <f t="shared" si="2"/>
        <v>0</v>
      </c>
      <c r="N13" t="s">
        <v>33</v>
      </c>
      <c r="O13" t="s">
        <v>9</v>
      </c>
    </row>
    <row r="14" spans="2:15" x14ac:dyDescent="0.25">
      <c r="B14">
        <v>1</v>
      </c>
      <c r="C14">
        <v>1</v>
      </c>
      <c r="D14" t="s">
        <v>31</v>
      </c>
      <c r="E14" t="s">
        <v>7</v>
      </c>
      <c r="F14" t="str">
        <f t="shared" si="0"/>
        <v>Stefan Hilts1</v>
      </c>
      <c r="G14">
        <v>148</v>
      </c>
      <c r="H14">
        <v>102</v>
      </c>
      <c r="I14" t="s">
        <v>30</v>
      </c>
      <c r="J14" t="s">
        <v>6</v>
      </c>
      <c r="K14">
        <f t="shared" si="1"/>
        <v>1</v>
      </c>
      <c r="L14">
        <f t="shared" si="2"/>
        <v>0</v>
      </c>
      <c r="N14" t="s">
        <v>35</v>
      </c>
      <c r="O14" t="s">
        <v>11</v>
      </c>
    </row>
    <row r="15" spans="2:15" x14ac:dyDescent="0.25">
      <c r="B15">
        <v>0</v>
      </c>
      <c r="C15">
        <v>2</v>
      </c>
      <c r="D15" t="s">
        <v>25</v>
      </c>
      <c r="E15" t="s">
        <v>1</v>
      </c>
      <c r="F15" t="str">
        <f t="shared" si="0"/>
        <v>Robert Hilton2</v>
      </c>
      <c r="G15">
        <v>75</v>
      </c>
      <c r="H15">
        <v>116</v>
      </c>
      <c r="I15" t="s">
        <v>28</v>
      </c>
      <c r="J15" t="s">
        <v>4</v>
      </c>
      <c r="K15">
        <f t="shared" si="1"/>
        <v>0</v>
      </c>
      <c r="L15">
        <f t="shared" si="2"/>
        <v>1</v>
      </c>
    </row>
    <row r="16" spans="2:15" x14ac:dyDescent="0.25">
      <c r="B16">
        <v>0</v>
      </c>
      <c r="C16">
        <v>2</v>
      </c>
      <c r="D16" t="s">
        <v>26</v>
      </c>
      <c r="E16" t="s">
        <v>2</v>
      </c>
      <c r="F16" t="str">
        <f t="shared" si="0"/>
        <v>William Schager2</v>
      </c>
      <c r="G16">
        <v>83</v>
      </c>
      <c r="H16">
        <v>152</v>
      </c>
      <c r="I16" t="s">
        <v>24</v>
      </c>
      <c r="J16" t="s">
        <v>0</v>
      </c>
      <c r="K16">
        <f t="shared" si="1"/>
        <v>0</v>
      </c>
      <c r="L16">
        <f t="shared" si="2"/>
        <v>0</v>
      </c>
    </row>
    <row r="17" spans="2:12" x14ac:dyDescent="0.25">
      <c r="B17">
        <v>0</v>
      </c>
      <c r="C17">
        <v>2</v>
      </c>
      <c r="D17" t="s">
        <v>29</v>
      </c>
      <c r="E17" t="s">
        <v>5</v>
      </c>
      <c r="F17" t="str">
        <f t="shared" si="0"/>
        <v>mark silva2</v>
      </c>
      <c r="G17">
        <v>93</v>
      </c>
      <c r="H17">
        <v>120</v>
      </c>
      <c r="I17" t="s">
        <v>32</v>
      </c>
      <c r="J17" t="s">
        <v>8</v>
      </c>
      <c r="K17">
        <f t="shared" si="1"/>
        <v>0</v>
      </c>
      <c r="L17">
        <f t="shared" si="2"/>
        <v>0</v>
      </c>
    </row>
    <row r="18" spans="2:12" x14ac:dyDescent="0.25">
      <c r="B18">
        <v>1</v>
      </c>
      <c r="C18">
        <v>2</v>
      </c>
      <c r="D18" t="s">
        <v>34</v>
      </c>
      <c r="E18" t="s">
        <v>10</v>
      </c>
      <c r="F18" t="str">
        <f t="shared" si="0"/>
        <v>Greg Smith2</v>
      </c>
      <c r="G18">
        <v>99</v>
      </c>
      <c r="H18">
        <v>125</v>
      </c>
      <c r="I18" t="s">
        <v>31</v>
      </c>
      <c r="J18" t="s">
        <v>7</v>
      </c>
      <c r="K18">
        <f t="shared" si="1"/>
        <v>0</v>
      </c>
      <c r="L18">
        <f t="shared" si="2"/>
        <v>0</v>
      </c>
    </row>
    <row r="19" spans="2:12" x14ac:dyDescent="0.25">
      <c r="B19">
        <v>0</v>
      </c>
      <c r="C19">
        <v>2</v>
      </c>
      <c r="D19" t="s">
        <v>33</v>
      </c>
      <c r="E19" t="s">
        <v>9</v>
      </c>
      <c r="F19" t="str">
        <f t="shared" si="0"/>
        <v>Jesse Hershman, Rafael Dionello2</v>
      </c>
      <c r="G19">
        <v>105</v>
      </c>
      <c r="H19">
        <v>137</v>
      </c>
      <c r="I19" t="s">
        <v>35</v>
      </c>
      <c r="J19" t="s">
        <v>11</v>
      </c>
      <c r="K19">
        <f t="shared" si="1"/>
        <v>0</v>
      </c>
      <c r="L19">
        <f t="shared" si="2"/>
        <v>0</v>
      </c>
    </row>
    <row r="20" spans="2:12" x14ac:dyDescent="0.25">
      <c r="B20">
        <v>0</v>
      </c>
      <c r="C20">
        <v>2</v>
      </c>
      <c r="D20" t="s">
        <v>27</v>
      </c>
      <c r="E20" t="s">
        <v>3</v>
      </c>
      <c r="F20" t="str">
        <f t="shared" si="0"/>
        <v>Andrew Joynt2</v>
      </c>
      <c r="G20">
        <v>110</v>
      </c>
      <c r="H20">
        <v>129</v>
      </c>
      <c r="I20" t="s">
        <v>30</v>
      </c>
      <c r="J20" t="s">
        <v>6</v>
      </c>
      <c r="K20">
        <f t="shared" si="1"/>
        <v>0</v>
      </c>
      <c r="L20">
        <f t="shared" si="2"/>
        <v>0</v>
      </c>
    </row>
    <row r="21" spans="2:12" x14ac:dyDescent="0.25">
      <c r="B21">
        <v>1</v>
      </c>
      <c r="C21">
        <v>2</v>
      </c>
      <c r="D21" t="s">
        <v>28</v>
      </c>
      <c r="E21" t="s">
        <v>4</v>
      </c>
      <c r="F21" t="str">
        <f t="shared" si="0"/>
        <v>Paulo Silva2</v>
      </c>
      <c r="G21">
        <v>116</v>
      </c>
      <c r="H21">
        <v>75</v>
      </c>
      <c r="I21" t="s">
        <v>25</v>
      </c>
      <c r="J21" t="s">
        <v>1</v>
      </c>
      <c r="K21">
        <f t="shared" si="1"/>
        <v>0</v>
      </c>
      <c r="L21">
        <f t="shared" si="2"/>
        <v>0</v>
      </c>
    </row>
    <row r="22" spans="2:12" x14ac:dyDescent="0.25">
      <c r="B22">
        <v>1</v>
      </c>
      <c r="C22">
        <v>2</v>
      </c>
      <c r="D22" t="s">
        <v>32</v>
      </c>
      <c r="E22" t="s">
        <v>8</v>
      </c>
      <c r="F22" t="str">
        <f t="shared" si="0"/>
        <v>Emile Chin-Dickey2</v>
      </c>
      <c r="G22">
        <v>120</v>
      </c>
      <c r="H22">
        <v>93</v>
      </c>
      <c r="I22" t="s">
        <v>29</v>
      </c>
      <c r="J22" t="s">
        <v>5</v>
      </c>
      <c r="K22">
        <f t="shared" si="1"/>
        <v>0</v>
      </c>
      <c r="L22">
        <f t="shared" si="2"/>
        <v>0</v>
      </c>
    </row>
    <row r="23" spans="2:12" x14ac:dyDescent="0.25">
      <c r="B23">
        <v>0</v>
      </c>
      <c r="C23">
        <v>2</v>
      </c>
      <c r="D23" t="s">
        <v>31</v>
      </c>
      <c r="E23" t="s">
        <v>7</v>
      </c>
      <c r="F23" t="str">
        <f t="shared" si="0"/>
        <v>Stefan Hilts2</v>
      </c>
      <c r="G23">
        <v>125</v>
      </c>
      <c r="H23">
        <v>99</v>
      </c>
      <c r="I23" t="s">
        <v>34</v>
      </c>
      <c r="J23" t="s">
        <v>10</v>
      </c>
      <c r="K23">
        <f t="shared" si="1"/>
        <v>0</v>
      </c>
      <c r="L23">
        <f t="shared" si="2"/>
        <v>0</v>
      </c>
    </row>
    <row r="24" spans="2:12" x14ac:dyDescent="0.25">
      <c r="B24">
        <v>1</v>
      </c>
      <c r="C24">
        <v>2</v>
      </c>
      <c r="D24" t="s">
        <v>30</v>
      </c>
      <c r="E24" t="s">
        <v>6</v>
      </c>
      <c r="F24" t="str">
        <f t="shared" si="0"/>
        <v>Karl Richardson2</v>
      </c>
      <c r="G24">
        <v>129</v>
      </c>
      <c r="H24">
        <v>110</v>
      </c>
      <c r="I24" t="s">
        <v>27</v>
      </c>
      <c r="J24" t="s">
        <v>3</v>
      </c>
      <c r="K24">
        <f t="shared" si="1"/>
        <v>0</v>
      </c>
      <c r="L24">
        <f t="shared" si="2"/>
        <v>0</v>
      </c>
    </row>
    <row r="25" spans="2:12" x14ac:dyDescent="0.25">
      <c r="B25">
        <v>1</v>
      </c>
      <c r="C25">
        <v>2</v>
      </c>
      <c r="D25" t="s">
        <v>35</v>
      </c>
      <c r="E25" t="s">
        <v>11</v>
      </c>
      <c r="F25" t="str">
        <f t="shared" si="0"/>
        <v>Stephen Joynt2</v>
      </c>
      <c r="G25">
        <v>137</v>
      </c>
      <c r="H25">
        <v>105</v>
      </c>
      <c r="I25" t="s">
        <v>33</v>
      </c>
      <c r="J25" t="s">
        <v>9</v>
      </c>
      <c r="K25">
        <f t="shared" si="1"/>
        <v>0</v>
      </c>
      <c r="L25">
        <f t="shared" si="2"/>
        <v>0</v>
      </c>
    </row>
    <row r="26" spans="2:12" x14ac:dyDescent="0.25">
      <c r="B26">
        <v>1</v>
      </c>
      <c r="C26">
        <v>2</v>
      </c>
      <c r="D26" t="s">
        <v>24</v>
      </c>
      <c r="E26" t="s">
        <v>0</v>
      </c>
      <c r="F26" t="str">
        <f t="shared" si="0"/>
        <v>Dan Cohen2</v>
      </c>
      <c r="G26">
        <v>152</v>
      </c>
      <c r="H26">
        <v>83</v>
      </c>
      <c r="I26" t="s">
        <v>26</v>
      </c>
      <c r="J26" t="s">
        <v>2</v>
      </c>
      <c r="K26">
        <f t="shared" si="1"/>
        <v>1</v>
      </c>
      <c r="L26">
        <f t="shared" si="2"/>
        <v>0</v>
      </c>
    </row>
    <row r="27" spans="2:12" x14ac:dyDescent="0.25">
      <c r="B27">
        <v>0</v>
      </c>
      <c r="C27">
        <v>3</v>
      </c>
      <c r="D27" t="s">
        <v>33</v>
      </c>
      <c r="E27" t="s">
        <v>9</v>
      </c>
      <c r="F27" t="str">
        <f t="shared" si="0"/>
        <v>Jesse Hershman, Rafael Dionello3</v>
      </c>
      <c r="G27">
        <v>84</v>
      </c>
      <c r="H27">
        <v>137</v>
      </c>
      <c r="I27" t="s">
        <v>31</v>
      </c>
      <c r="J27" t="s">
        <v>7</v>
      </c>
      <c r="K27">
        <f t="shared" si="1"/>
        <v>0</v>
      </c>
      <c r="L27">
        <f t="shared" si="2"/>
        <v>1</v>
      </c>
    </row>
    <row r="28" spans="2:12" x14ac:dyDescent="0.25">
      <c r="B28">
        <v>1</v>
      </c>
      <c r="C28">
        <v>3</v>
      </c>
      <c r="D28" t="s">
        <v>26</v>
      </c>
      <c r="E28" t="s">
        <v>2</v>
      </c>
      <c r="F28" t="str">
        <f t="shared" si="0"/>
        <v>William Schager3</v>
      </c>
      <c r="G28">
        <v>85</v>
      </c>
      <c r="H28">
        <v>137</v>
      </c>
      <c r="I28" t="s">
        <v>30</v>
      </c>
      <c r="J28" t="s">
        <v>6</v>
      </c>
      <c r="K28">
        <f t="shared" si="1"/>
        <v>0</v>
      </c>
      <c r="L28">
        <f t="shared" si="2"/>
        <v>0</v>
      </c>
    </row>
    <row r="29" spans="2:12" x14ac:dyDescent="0.25">
      <c r="B29">
        <v>0</v>
      </c>
      <c r="C29">
        <v>3</v>
      </c>
      <c r="D29" t="s">
        <v>35</v>
      </c>
      <c r="E29" t="s">
        <v>11</v>
      </c>
      <c r="F29" t="str">
        <f t="shared" si="0"/>
        <v>Stephen Joynt3</v>
      </c>
      <c r="G29">
        <v>86</v>
      </c>
      <c r="H29">
        <v>131</v>
      </c>
      <c r="I29" t="s">
        <v>29</v>
      </c>
      <c r="J29" t="s">
        <v>5</v>
      </c>
      <c r="K29">
        <f t="shared" si="1"/>
        <v>0</v>
      </c>
      <c r="L29">
        <f t="shared" si="2"/>
        <v>0</v>
      </c>
    </row>
    <row r="30" spans="2:12" x14ac:dyDescent="0.25">
      <c r="B30">
        <v>0</v>
      </c>
      <c r="C30">
        <v>3</v>
      </c>
      <c r="D30" t="s">
        <v>24</v>
      </c>
      <c r="E30" t="s">
        <v>0</v>
      </c>
      <c r="F30" t="str">
        <f t="shared" si="0"/>
        <v>Dan Cohen3</v>
      </c>
      <c r="G30">
        <v>88</v>
      </c>
      <c r="H30">
        <v>97</v>
      </c>
      <c r="I30" t="s">
        <v>28</v>
      </c>
      <c r="J30" t="s">
        <v>4</v>
      </c>
      <c r="K30">
        <f t="shared" si="1"/>
        <v>0</v>
      </c>
      <c r="L30">
        <f t="shared" si="2"/>
        <v>0</v>
      </c>
    </row>
    <row r="31" spans="2:12" x14ac:dyDescent="0.25">
      <c r="B31">
        <v>1</v>
      </c>
      <c r="C31">
        <v>3</v>
      </c>
      <c r="D31" t="s">
        <v>28</v>
      </c>
      <c r="E31" t="s">
        <v>4</v>
      </c>
      <c r="F31" t="str">
        <f t="shared" si="0"/>
        <v>Paulo Silva3</v>
      </c>
      <c r="G31">
        <v>97</v>
      </c>
      <c r="H31">
        <v>88</v>
      </c>
      <c r="I31" t="s">
        <v>24</v>
      </c>
      <c r="J31" t="s">
        <v>0</v>
      </c>
      <c r="K31">
        <f t="shared" si="1"/>
        <v>0</v>
      </c>
      <c r="L31">
        <f t="shared" si="2"/>
        <v>0</v>
      </c>
    </row>
    <row r="32" spans="2:12" x14ac:dyDescent="0.25">
      <c r="B32">
        <v>0</v>
      </c>
      <c r="C32">
        <v>3</v>
      </c>
      <c r="D32" t="s">
        <v>32</v>
      </c>
      <c r="E32" t="s">
        <v>8</v>
      </c>
      <c r="F32" t="str">
        <f t="shared" si="0"/>
        <v>Emile Chin-Dickey3</v>
      </c>
      <c r="G32">
        <v>102</v>
      </c>
      <c r="H32">
        <v>102</v>
      </c>
      <c r="I32" t="s">
        <v>25</v>
      </c>
      <c r="J32" t="s">
        <v>1</v>
      </c>
      <c r="K32">
        <f t="shared" si="1"/>
        <v>0</v>
      </c>
      <c r="L32">
        <f t="shared" si="2"/>
        <v>0</v>
      </c>
    </row>
    <row r="33" spans="2:12" x14ac:dyDescent="0.25">
      <c r="B33">
        <v>1</v>
      </c>
      <c r="C33">
        <v>3</v>
      </c>
      <c r="D33" t="s">
        <v>25</v>
      </c>
      <c r="E33" t="s">
        <v>1</v>
      </c>
      <c r="F33" t="str">
        <f t="shared" si="0"/>
        <v>Robert Hilton3</v>
      </c>
      <c r="G33">
        <v>102</v>
      </c>
      <c r="H33">
        <v>102</v>
      </c>
      <c r="I33" t="s">
        <v>32</v>
      </c>
      <c r="J33" t="s">
        <v>8</v>
      </c>
      <c r="K33">
        <f t="shared" si="1"/>
        <v>0</v>
      </c>
      <c r="L33">
        <f t="shared" si="2"/>
        <v>0</v>
      </c>
    </row>
    <row r="34" spans="2:12" x14ac:dyDescent="0.25">
      <c r="B34">
        <v>1</v>
      </c>
      <c r="C34">
        <v>3</v>
      </c>
      <c r="D34" t="s">
        <v>27</v>
      </c>
      <c r="E34" t="s">
        <v>3</v>
      </c>
      <c r="F34" t="str">
        <f t="shared" si="0"/>
        <v>Andrew Joynt3</v>
      </c>
      <c r="G34">
        <v>126</v>
      </c>
      <c r="H34">
        <v>170</v>
      </c>
      <c r="I34" t="s">
        <v>34</v>
      </c>
      <c r="J34" t="s">
        <v>10</v>
      </c>
      <c r="K34">
        <f t="shared" si="1"/>
        <v>0</v>
      </c>
      <c r="L34">
        <f t="shared" si="2"/>
        <v>0</v>
      </c>
    </row>
    <row r="35" spans="2:12" x14ac:dyDescent="0.25">
      <c r="B35">
        <v>1</v>
      </c>
      <c r="C35">
        <v>3</v>
      </c>
      <c r="D35" t="s">
        <v>29</v>
      </c>
      <c r="E35" t="s">
        <v>5</v>
      </c>
      <c r="F35" t="str">
        <f t="shared" si="0"/>
        <v>mark silva3</v>
      </c>
      <c r="G35">
        <v>131</v>
      </c>
      <c r="H35">
        <v>86</v>
      </c>
      <c r="I35" t="s">
        <v>35</v>
      </c>
      <c r="J35" t="s">
        <v>11</v>
      </c>
      <c r="K35">
        <f t="shared" si="1"/>
        <v>0</v>
      </c>
      <c r="L35">
        <f t="shared" si="2"/>
        <v>0</v>
      </c>
    </row>
    <row r="36" spans="2:12" x14ac:dyDescent="0.25">
      <c r="B36">
        <v>0</v>
      </c>
      <c r="C36">
        <v>3</v>
      </c>
      <c r="D36" t="s">
        <v>30</v>
      </c>
      <c r="E36" t="s">
        <v>6</v>
      </c>
      <c r="F36" t="str">
        <f t="shared" si="0"/>
        <v>Karl Richardson3</v>
      </c>
      <c r="G36">
        <v>137</v>
      </c>
      <c r="H36">
        <v>85</v>
      </c>
      <c r="I36" t="s">
        <v>26</v>
      </c>
      <c r="J36" t="s">
        <v>2</v>
      </c>
      <c r="K36">
        <f t="shared" si="1"/>
        <v>0</v>
      </c>
      <c r="L36">
        <f t="shared" si="2"/>
        <v>0</v>
      </c>
    </row>
    <row r="37" spans="2:12" x14ac:dyDescent="0.25">
      <c r="B37">
        <v>1</v>
      </c>
      <c r="C37">
        <v>3</v>
      </c>
      <c r="D37" t="s">
        <v>31</v>
      </c>
      <c r="E37" t="s">
        <v>7</v>
      </c>
      <c r="F37" t="str">
        <f t="shared" si="0"/>
        <v>Stefan Hilts3</v>
      </c>
      <c r="G37">
        <v>137</v>
      </c>
      <c r="H37">
        <v>84</v>
      </c>
      <c r="I37" t="s">
        <v>33</v>
      </c>
      <c r="J37" t="s">
        <v>9</v>
      </c>
      <c r="K37">
        <f t="shared" si="1"/>
        <v>0</v>
      </c>
      <c r="L37">
        <f t="shared" si="2"/>
        <v>0</v>
      </c>
    </row>
    <row r="38" spans="2:12" x14ac:dyDescent="0.25">
      <c r="B38">
        <v>0</v>
      </c>
      <c r="C38">
        <v>3</v>
      </c>
      <c r="D38" t="s">
        <v>34</v>
      </c>
      <c r="E38" t="s">
        <v>10</v>
      </c>
      <c r="F38" t="str">
        <f t="shared" si="0"/>
        <v>Greg Smith3</v>
      </c>
      <c r="G38">
        <v>170</v>
      </c>
      <c r="H38">
        <v>126</v>
      </c>
      <c r="I38" t="s">
        <v>27</v>
      </c>
      <c r="J38" t="s">
        <v>3</v>
      </c>
      <c r="K38">
        <f t="shared" si="1"/>
        <v>1</v>
      </c>
      <c r="L38">
        <f t="shared" si="2"/>
        <v>0</v>
      </c>
    </row>
    <row r="39" spans="2:12" x14ac:dyDescent="0.25">
      <c r="B39">
        <v>1</v>
      </c>
      <c r="C39">
        <v>4</v>
      </c>
      <c r="D39" t="s">
        <v>32</v>
      </c>
      <c r="E39" t="s">
        <v>8</v>
      </c>
      <c r="F39" t="str">
        <f t="shared" si="0"/>
        <v>Emile Chin-Dickey4</v>
      </c>
      <c r="G39">
        <v>79</v>
      </c>
      <c r="H39">
        <v>115</v>
      </c>
      <c r="I39" t="s">
        <v>28</v>
      </c>
      <c r="J39" t="s">
        <v>4</v>
      </c>
      <c r="K39">
        <f t="shared" si="1"/>
        <v>0</v>
      </c>
      <c r="L39">
        <f t="shared" si="2"/>
        <v>1</v>
      </c>
    </row>
    <row r="40" spans="2:12" x14ac:dyDescent="0.25">
      <c r="B40">
        <v>1</v>
      </c>
      <c r="C40">
        <v>4</v>
      </c>
      <c r="D40" t="s">
        <v>35</v>
      </c>
      <c r="E40" t="s">
        <v>11</v>
      </c>
      <c r="F40" t="str">
        <f t="shared" si="0"/>
        <v>Stephen Joynt4</v>
      </c>
      <c r="G40">
        <v>79</v>
      </c>
      <c r="H40">
        <v>93</v>
      </c>
      <c r="I40" t="s">
        <v>25</v>
      </c>
      <c r="J40" t="s">
        <v>1</v>
      </c>
      <c r="K40">
        <f t="shared" si="1"/>
        <v>0</v>
      </c>
      <c r="L40">
        <f t="shared" si="2"/>
        <v>1</v>
      </c>
    </row>
    <row r="41" spans="2:12" x14ac:dyDescent="0.25">
      <c r="B41">
        <v>0</v>
      </c>
      <c r="C41">
        <v>4</v>
      </c>
      <c r="D41" t="s">
        <v>25</v>
      </c>
      <c r="E41" t="s">
        <v>1</v>
      </c>
      <c r="F41" t="str">
        <f t="shared" si="0"/>
        <v>Robert Hilton4</v>
      </c>
      <c r="G41">
        <v>93</v>
      </c>
      <c r="H41">
        <v>79</v>
      </c>
      <c r="I41" t="s">
        <v>35</v>
      </c>
      <c r="J41" t="s">
        <v>11</v>
      </c>
      <c r="K41">
        <f t="shared" si="1"/>
        <v>0</v>
      </c>
      <c r="L41">
        <f t="shared" si="2"/>
        <v>0</v>
      </c>
    </row>
    <row r="42" spans="2:12" x14ac:dyDescent="0.25">
      <c r="B42">
        <v>1</v>
      </c>
      <c r="C42">
        <v>4</v>
      </c>
      <c r="D42" t="s">
        <v>24</v>
      </c>
      <c r="E42" t="s">
        <v>0</v>
      </c>
      <c r="F42" t="str">
        <f t="shared" si="0"/>
        <v>Dan Cohen4</v>
      </c>
      <c r="G42">
        <v>105</v>
      </c>
      <c r="H42">
        <v>113</v>
      </c>
      <c r="I42" t="s">
        <v>30</v>
      </c>
      <c r="J42" t="s">
        <v>6</v>
      </c>
      <c r="K42">
        <f t="shared" si="1"/>
        <v>0</v>
      </c>
      <c r="L42">
        <f t="shared" si="2"/>
        <v>0</v>
      </c>
    </row>
    <row r="43" spans="2:12" x14ac:dyDescent="0.25">
      <c r="B43">
        <v>0</v>
      </c>
      <c r="C43">
        <v>4</v>
      </c>
      <c r="D43" t="s">
        <v>29</v>
      </c>
      <c r="E43" t="s">
        <v>5</v>
      </c>
      <c r="F43" t="str">
        <f t="shared" si="0"/>
        <v>mark silva4</v>
      </c>
      <c r="G43">
        <v>106</v>
      </c>
      <c r="H43">
        <v>156</v>
      </c>
      <c r="I43" t="s">
        <v>31</v>
      </c>
      <c r="J43" t="s">
        <v>7</v>
      </c>
      <c r="K43">
        <f t="shared" si="1"/>
        <v>0</v>
      </c>
      <c r="L43">
        <f t="shared" si="2"/>
        <v>0</v>
      </c>
    </row>
    <row r="44" spans="2:12" x14ac:dyDescent="0.25">
      <c r="B44">
        <v>0</v>
      </c>
      <c r="C44">
        <v>4</v>
      </c>
      <c r="D44" t="s">
        <v>26</v>
      </c>
      <c r="E44" t="s">
        <v>2</v>
      </c>
      <c r="F44" t="str">
        <f t="shared" si="0"/>
        <v>William Schager4</v>
      </c>
      <c r="G44">
        <v>108</v>
      </c>
      <c r="H44">
        <v>114</v>
      </c>
      <c r="I44" t="s">
        <v>34</v>
      </c>
      <c r="J44" t="s">
        <v>10</v>
      </c>
      <c r="K44">
        <f t="shared" si="1"/>
        <v>0</v>
      </c>
      <c r="L44">
        <f t="shared" si="2"/>
        <v>0</v>
      </c>
    </row>
    <row r="45" spans="2:12" x14ac:dyDescent="0.25">
      <c r="B45">
        <v>0</v>
      </c>
      <c r="C45">
        <v>4</v>
      </c>
      <c r="D45" t="s">
        <v>30</v>
      </c>
      <c r="E45" t="s">
        <v>6</v>
      </c>
      <c r="F45" t="str">
        <f t="shared" si="0"/>
        <v>Karl Richardson4</v>
      </c>
      <c r="G45">
        <v>113</v>
      </c>
      <c r="H45">
        <v>105</v>
      </c>
      <c r="I45" t="s">
        <v>24</v>
      </c>
      <c r="J45" t="s">
        <v>0</v>
      </c>
      <c r="K45">
        <f t="shared" si="1"/>
        <v>0</v>
      </c>
      <c r="L45">
        <f t="shared" si="2"/>
        <v>0</v>
      </c>
    </row>
    <row r="46" spans="2:12" x14ac:dyDescent="0.25">
      <c r="B46">
        <v>1</v>
      </c>
      <c r="C46">
        <v>4</v>
      </c>
      <c r="D46" t="s">
        <v>34</v>
      </c>
      <c r="E46" t="s">
        <v>10</v>
      </c>
      <c r="F46" t="str">
        <f t="shared" si="0"/>
        <v>Greg Smith4</v>
      </c>
      <c r="G46">
        <v>114</v>
      </c>
      <c r="H46">
        <v>108</v>
      </c>
      <c r="I46" t="s">
        <v>26</v>
      </c>
      <c r="J46" t="s">
        <v>2</v>
      </c>
      <c r="K46">
        <f t="shared" si="1"/>
        <v>0</v>
      </c>
      <c r="L46">
        <f t="shared" si="2"/>
        <v>0</v>
      </c>
    </row>
    <row r="47" spans="2:12" x14ac:dyDescent="0.25">
      <c r="B47">
        <v>0</v>
      </c>
      <c r="C47">
        <v>4</v>
      </c>
      <c r="D47" t="s">
        <v>28</v>
      </c>
      <c r="E47" t="s">
        <v>4</v>
      </c>
      <c r="F47" t="str">
        <f t="shared" si="0"/>
        <v>Paulo Silva4</v>
      </c>
      <c r="G47">
        <v>115</v>
      </c>
      <c r="H47">
        <v>79</v>
      </c>
      <c r="I47" t="s">
        <v>32</v>
      </c>
      <c r="J47" t="s">
        <v>8</v>
      </c>
      <c r="K47">
        <f t="shared" si="1"/>
        <v>0</v>
      </c>
      <c r="L47">
        <f t="shared" si="2"/>
        <v>0</v>
      </c>
    </row>
    <row r="48" spans="2:12" x14ac:dyDescent="0.25">
      <c r="B48">
        <v>0</v>
      </c>
      <c r="C48">
        <v>4</v>
      </c>
      <c r="D48" t="s">
        <v>27</v>
      </c>
      <c r="E48" t="s">
        <v>3</v>
      </c>
      <c r="F48" t="str">
        <f t="shared" si="0"/>
        <v>Andrew Joynt4</v>
      </c>
      <c r="G48">
        <v>128</v>
      </c>
      <c r="H48">
        <v>130</v>
      </c>
      <c r="I48" t="s">
        <v>33</v>
      </c>
      <c r="J48" t="s">
        <v>9</v>
      </c>
      <c r="K48">
        <f t="shared" si="1"/>
        <v>0</v>
      </c>
      <c r="L48">
        <f t="shared" si="2"/>
        <v>0</v>
      </c>
    </row>
    <row r="49" spans="2:12" x14ac:dyDescent="0.25">
      <c r="B49">
        <v>1</v>
      </c>
      <c r="C49">
        <v>4</v>
      </c>
      <c r="D49" t="s">
        <v>33</v>
      </c>
      <c r="E49" t="s">
        <v>9</v>
      </c>
      <c r="F49" t="str">
        <f t="shared" si="0"/>
        <v>Jesse Hershman, Rafael Dionello4</v>
      </c>
      <c r="G49">
        <v>130</v>
      </c>
      <c r="H49">
        <v>128</v>
      </c>
      <c r="I49" t="s">
        <v>27</v>
      </c>
      <c r="J49" t="s">
        <v>3</v>
      </c>
      <c r="K49">
        <f t="shared" si="1"/>
        <v>0</v>
      </c>
      <c r="L49">
        <f t="shared" si="2"/>
        <v>0</v>
      </c>
    </row>
    <row r="50" spans="2:12" x14ac:dyDescent="0.25">
      <c r="B50">
        <v>1</v>
      </c>
      <c r="C50">
        <v>4</v>
      </c>
      <c r="D50" t="s">
        <v>31</v>
      </c>
      <c r="E50" t="s">
        <v>7</v>
      </c>
      <c r="F50" t="str">
        <f t="shared" si="0"/>
        <v>Stefan Hilts4</v>
      </c>
      <c r="G50">
        <v>156</v>
      </c>
      <c r="H50">
        <v>106</v>
      </c>
      <c r="I50" t="s">
        <v>29</v>
      </c>
      <c r="J50" t="s">
        <v>5</v>
      </c>
      <c r="K50">
        <f t="shared" si="1"/>
        <v>1</v>
      </c>
      <c r="L50">
        <f t="shared" si="2"/>
        <v>0</v>
      </c>
    </row>
    <row r="51" spans="2:12" x14ac:dyDescent="0.25">
      <c r="B51">
        <v>1</v>
      </c>
      <c r="C51">
        <v>5</v>
      </c>
      <c r="D51" t="s">
        <v>32</v>
      </c>
      <c r="E51" t="s">
        <v>8</v>
      </c>
      <c r="F51" t="str">
        <f t="shared" si="0"/>
        <v>Emile Chin-Dickey5</v>
      </c>
      <c r="G51">
        <v>94</v>
      </c>
      <c r="H51">
        <v>121</v>
      </c>
      <c r="I51" t="s">
        <v>24</v>
      </c>
      <c r="J51" t="s">
        <v>0</v>
      </c>
      <c r="K51">
        <f t="shared" si="1"/>
        <v>0</v>
      </c>
      <c r="L51">
        <f t="shared" si="2"/>
        <v>1</v>
      </c>
    </row>
    <row r="52" spans="2:12" x14ac:dyDescent="0.25">
      <c r="B52">
        <v>1</v>
      </c>
      <c r="C52">
        <v>5</v>
      </c>
      <c r="D52" t="s">
        <v>30</v>
      </c>
      <c r="E52" t="s">
        <v>6</v>
      </c>
      <c r="F52" t="str">
        <f t="shared" si="0"/>
        <v>Karl Richardson5</v>
      </c>
      <c r="G52">
        <v>103</v>
      </c>
      <c r="H52">
        <v>129</v>
      </c>
      <c r="I52" t="s">
        <v>34</v>
      </c>
      <c r="J52" t="s">
        <v>10</v>
      </c>
      <c r="K52">
        <f t="shared" si="1"/>
        <v>0</v>
      </c>
      <c r="L52">
        <f t="shared" si="2"/>
        <v>0</v>
      </c>
    </row>
    <row r="53" spans="2:12" x14ac:dyDescent="0.25">
      <c r="B53">
        <v>1</v>
      </c>
      <c r="C53">
        <v>5</v>
      </c>
      <c r="D53" t="s">
        <v>26</v>
      </c>
      <c r="E53" t="s">
        <v>2</v>
      </c>
      <c r="F53" t="str">
        <f t="shared" si="0"/>
        <v>William Schager5</v>
      </c>
      <c r="G53">
        <v>109</v>
      </c>
      <c r="H53">
        <v>112</v>
      </c>
      <c r="I53" t="s">
        <v>33</v>
      </c>
      <c r="J53" t="s">
        <v>9</v>
      </c>
      <c r="K53">
        <f t="shared" si="1"/>
        <v>0</v>
      </c>
      <c r="L53">
        <f t="shared" si="2"/>
        <v>0</v>
      </c>
    </row>
    <row r="54" spans="2:12" x14ac:dyDescent="0.25">
      <c r="B54">
        <v>0</v>
      </c>
      <c r="C54">
        <v>5</v>
      </c>
      <c r="D54" t="s">
        <v>33</v>
      </c>
      <c r="E54" t="s">
        <v>9</v>
      </c>
      <c r="F54" t="str">
        <f t="shared" si="0"/>
        <v>Jesse Hershman, Rafael Dionello5</v>
      </c>
      <c r="G54">
        <v>112</v>
      </c>
      <c r="H54">
        <v>109</v>
      </c>
      <c r="I54" t="s">
        <v>26</v>
      </c>
      <c r="J54" t="s">
        <v>2</v>
      </c>
      <c r="K54">
        <f t="shared" si="1"/>
        <v>0</v>
      </c>
      <c r="L54">
        <f t="shared" si="2"/>
        <v>0</v>
      </c>
    </row>
    <row r="55" spans="2:12" x14ac:dyDescent="0.25">
      <c r="B55">
        <v>0</v>
      </c>
      <c r="C55">
        <v>5</v>
      </c>
      <c r="D55" t="s">
        <v>24</v>
      </c>
      <c r="E55" t="s">
        <v>0</v>
      </c>
      <c r="F55" t="str">
        <f t="shared" si="0"/>
        <v>Dan Cohen5</v>
      </c>
      <c r="G55">
        <v>121</v>
      </c>
      <c r="H55">
        <v>94</v>
      </c>
      <c r="I55" t="s">
        <v>32</v>
      </c>
      <c r="J55" t="s">
        <v>8</v>
      </c>
      <c r="K55">
        <f t="shared" si="1"/>
        <v>0</v>
      </c>
      <c r="L55">
        <f t="shared" si="2"/>
        <v>0</v>
      </c>
    </row>
    <row r="56" spans="2:12" x14ac:dyDescent="0.25">
      <c r="B56">
        <v>1</v>
      </c>
      <c r="C56">
        <v>5</v>
      </c>
      <c r="D56" t="s">
        <v>27</v>
      </c>
      <c r="E56" t="s">
        <v>3</v>
      </c>
      <c r="F56" t="str">
        <f t="shared" si="0"/>
        <v>Andrew Joynt5</v>
      </c>
      <c r="G56">
        <v>122</v>
      </c>
      <c r="H56">
        <v>148</v>
      </c>
      <c r="I56" t="s">
        <v>29</v>
      </c>
      <c r="J56" t="s">
        <v>5</v>
      </c>
      <c r="K56">
        <f t="shared" si="1"/>
        <v>0</v>
      </c>
      <c r="L56">
        <f t="shared" si="2"/>
        <v>0</v>
      </c>
    </row>
    <row r="57" spans="2:12" x14ac:dyDescent="0.25">
      <c r="B57">
        <v>0</v>
      </c>
      <c r="C57">
        <v>5</v>
      </c>
      <c r="D57" t="s">
        <v>34</v>
      </c>
      <c r="E57" t="s">
        <v>10</v>
      </c>
      <c r="F57" t="str">
        <f t="shared" si="0"/>
        <v>Greg Smith5</v>
      </c>
      <c r="G57">
        <v>129</v>
      </c>
      <c r="H57">
        <v>103</v>
      </c>
      <c r="I57" t="s">
        <v>30</v>
      </c>
      <c r="J57" t="s">
        <v>6</v>
      </c>
      <c r="K57">
        <f t="shared" si="1"/>
        <v>0</v>
      </c>
      <c r="L57">
        <f t="shared" si="2"/>
        <v>0</v>
      </c>
    </row>
    <row r="58" spans="2:12" x14ac:dyDescent="0.25">
      <c r="B58">
        <v>0</v>
      </c>
      <c r="C58">
        <v>5</v>
      </c>
      <c r="D58" t="s">
        <v>35</v>
      </c>
      <c r="E58" t="s">
        <v>11</v>
      </c>
      <c r="F58" t="str">
        <f t="shared" si="0"/>
        <v>Stephen Joynt5</v>
      </c>
      <c r="G58">
        <v>137</v>
      </c>
      <c r="H58">
        <v>141</v>
      </c>
      <c r="I58" t="s">
        <v>28</v>
      </c>
      <c r="J58" t="s">
        <v>4</v>
      </c>
      <c r="K58">
        <f t="shared" si="1"/>
        <v>0</v>
      </c>
      <c r="L58">
        <f t="shared" si="2"/>
        <v>0</v>
      </c>
    </row>
    <row r="59" spans="2:12" x14ac:dyDescent="0.25">
      <c r="B59">
        <v>1</v>
      </c>
      <c r="C59">
        <v>5</v>
      </c>
      <c r="D59" t="s">
        <v>25</v>
      </c>
      <c r="E59" t="s">
        <v>1</v>
      </c>
      <c r="F59" t="str">
        <f t="shared" si="0"/>
        <v>Robert Hilton5</v>
      </c>
      <c r="G59">
        <v>138</v>
      </c>
      <c r="H59">
        <v>167</v>
      </c>
      <c r="I59" t="s">
        <v>31</v>
      </c>
      <c r="J59" t="s">
        <v>7</v>
      </c>
      <c r="K59">
        <f t="shared" si="1"/>
        <v>0</v>
      </c>
      <c r="L59">
        <f t="shared" si="2"/>
        <v>0</v>
      </c>
    </row>
    <row r="60" spans="2:12" x14ac:dyDescent="0.25">
      <c r="B60">
        <v>1</v>
      </c>
      <c r="C60">
        <v>5</v>
      </c>
      <c r="D60" t="s">
        <v>28</v>
      </c>
      <c r="E60" t="s">
        <v>4</v>
      </c>
      <c r="F60" t="str">
        <f t="shared" si="0"/>
        <v>Paulo Silva5</v>
      </c>
      <c r="G60">
        <v>141</v>
      </c>
      <c r="H60">
        <v>137</v>
      </c>
      <c r="I60" t="s">
        <v>35</v>
      </c>
      <c r="J60" t="s">
        <v>11</v>
      </c>
      <c r="K60">
        <f t="shared" si="1"/>
        <v>0</v>
      </c>
      <c r="L60">
        <f t="shared" si="2"/>
        <v>0</v>
      </c>
    </row>
    <row r="61" spans="2:12" x14ac:dyDescent="0.25">
      <c r="B61">
        <v>0</v>
      </c>
      <c r="C61">
        <v>5</v>
      </c>
      <c r="D61" t="s">
        <v>29</v>
      </c>
      <c r="E61" t="s">
        <v>5</v>
      </c>
      <c r="F61" t="str">
        <f t="shared" si="0"/>
        <v>mark silva5</v>
      </c>
      <c r="G61">
        <v>148</v>
      </c>
      <c r="H61">
        <v>122</v>
      </c>
      <c r="I61" t="s">
        <v>27</v>
      </c>
      <c r="J61" t="s">
        <v>3</v>
      </c>
      <c r="K61">
        <f t="shared" si="1"/>
        <v>0</v>
      </c>
      <c r="L61">
        <f t="shared" si="2"/>
        <v>0</v>
      </c>
    </row>
    <row r="62" spans="2:12" x14ac:dyDescent="0.25">
      <c r="B62">
        <v>0</v>
      </c>
      <c r="C62">
        <v>5</v>
      </c>
      <c r="D62" t="s">
        <v>31</v>
      </c>
      <c r="E62" t="s">
        <v>7</v>
      </c>
      <c r="F62" t="str">
        <f t="shared" si="0"/>
        <v>Stefan Hilts5</v>
      </c>
      <c r="G62">
        <v>167</v>
      </c>
      <c r="H62">
        <v>138</v>
      </c>
      <c r="I62" t="s">
        <v>25</v>
      </c>
      <c r="J62" t="s">
        <v>1</v>
      </c>
      <c r="K62">
        <f t="shared" si="1"/>
        <v>1</v>
      </c>
      <c r="L62">
        <f t="shared" si="2"/>
        <v>0</v>
      </c>
    </row>
    <row r="63" spans="2:12" x14ac:dyDescent="0.25">
      <c r="B63">
        <v>0</v>
      </c>
      <c r="C63">
        <v>6</v>
      </c>
      <c r="D63" t="s">
        <v>26</v>
      </c>
      <c r="E63" t="s">
        <v>2</v>
      </c>
      <c r="F63" t="str">
        <f t="shared" si="0"/>
        <v>William Schager6</v>
      </c>
      <c r="G63">
        <v>66</v>
      </c>
      <c r="H63">
        <v>119</v>
      </c>
      <c r="I63" t="s">
        <v>29</v>
      </c>
      <c r="J63" t="s">
        <v>5</v>
      </c>
      <c r="K63">
        <f t="shared" si="1"/>
        <v>0</v>
      </c>
      <c r="L63">
        <f t="shared" si="2"/>
        <v>1</v>
      </c>
    </row>
    <row r="64" spans="2:12" x14ac:dyDescent="0.25">
      <c r="B64">
        <v>1</v>
      </c>
      <c r="C64">
        <v>6</v>
      </c>
      <c r="D64" t="s">
        <v>24</v>
      </c>
      <c r="E64" t="s">
        <v>0</v>
      </c>
      <c r="F64" t="str">
        <f t="shared" si="0"/>
        <v>Dan Cohen6</v>
      </c>
      <c r="G64">
        <v>90</v>
      </c>
      <c r="H64">
        <v>95</v>
      </c>
      <c r="I64" t="s">
        <v>34</v>
      </c>
      <c r="J64" t="s">
        <v>10</v>
      </c>
      <c r="K64">
        <f t="shared" si="1"/>
        <v>0</v>
      </c>
      <c r="L64">
        <f t="shared" si="2"/>
        <v>0</v>
      </c>
    </row>
    <row r="65" spans="2:12" x14ac:dyDescent="0.25">
      <c r="B65">
        <v>0</v>
      </c>
      <c r="C65">
        <v>6</v>
      </c>
      <c r="D65" t="s">
        <v>34</v>
      </c>
      <c r="E65" t="s">
        <v>10</v>
      </c>
      <c r="F65" t="str">
        <f t="shared" si="0"/>
        <v>Greg Smith6</v>
      </c>
      <c r="G65">
        <v>95</v>
      </c>
      <c r="H65">
        <v>90</v>
      </c>
      <c r="I65" t="s">
        <v>24</v>
      </c>
      <c r="J65" t="s">
        <v>0</v>
      </c>
      <c r="K65">
        <f t="shared" si="1"/>
        <v>0</v>
      </c>
      <c r="L65">
        <f t="shared" si="2"/>
        <v>0</v>
      </c>
    </row>
    <row r="66" spans="2:12" x14ac:dyDescent="0.25">
      <c r="B66">
        <v>0</v>
      </c>
      <c r="C66">
        <v>6</v>
      </c>
      <c r="D66" t="s">
        <v>28</v>
      </c>
      <c r="E66" t="s">
        <v>4</v>
      </c>
      <c r="F66" t="str">
        <f t="shared" si="0"/>
        <v>Paulo Silva6</v>
      </c>
      <c r="G66">
        <v>100</v>
      </c>
      <c r="H66">
        <v>122</v>
      </c>
      <c r="I66" t="s">
        <v>31</v>
      </c>
      <c r="J66" t="s">
        <v>7</v>
      </c>
      <c r="K66">
        <f t="shared" si="1"/>
        <v>0</v>
      </c>
      <c r="L66">
        <f t="shared" si="2"/>
        <v>0</v>
      </c>
    </row>
    <row r="67" spans="2:12" x14ac:dyDescent="0.25">
      <c r="B67">
        <v>1</v>
      </c>
      <c r="C67">
        <v>6</v>
      </c>
      <c r="D67" t="s">
        <v>35</v>
      </c>
      <c r="E67" t="s">
        <v>11</v>
      </c>
      <c r="F67" t="str">
        <f t="shared" si="0"/>
        <v>Stephen Joynt6</v>
      </c>
      <c r="G67">
        <v>114</v>
      </c>
      <c r="H67">
        <v>125</v>
      </c>
      <c r="I67" t="s">
        <v>32</v>
      </c>
      <c r="J67" t="s">
        <v>8</v>
      </c>
      <c r="K67">
        <f t="shared" si="1"/>
        <v>0</v>
      </c>
      <c r="L67">
        <f t="shared" si="2"/>
        <v>0</v>
      </c>
    </row>
    <row r="68" spans="2:12" x14ac:dyDescent="0.25">
      <c r="B68">
        <v>0</v>
      </c>
      <c r="C68">
        <v>6</v>
      </c>
      <c r="D68" t="s">
        <v>30</v>
      </c>
      <c r="E68" t="s">
        <v>6</v>
      </c>
      <c r="F68" t="str">
        <f t="shared" ref="F68:F131" si="3">E68&amp;C68</f>
        <v>Karl Richardson6</v>
      </c>
      <c r="G68">
        <v>118</v>
      </c>
      <c r="H68">
        <v>118</v>
      </c>
      <c r="I68" t="s">
        <v>33</v>
      </c>
      <c r="J68" t="s">
        <v>9</v>
      </c>
      <c r="K68">
        <f t="shared" ref="K68:K131" si="4">IF(G68=0,0,IF(G68=_xlfn.MAXIFS($G$3:$G$170,$C$3:$C$170,C68),1,0))</f>
        <v>0</v>
      </c>
      <c r="L68">
        <f t="shared" ref="L68:L131" si="5">IF(G68=0,0,IF(G68=_xlfn.MINIFS($G$3:$G$170,$C$3:$C$170,C68),1,0))</f>
        <v>0</v>
      </c>
    </row>
    <row r="69" spans="2:12" x14ac:dyDescent="0.25">
      <c r="B69">
        <v>1</v>
      </c>
      <c r="C69">
        <v>6</v>
      </c>
      <c r="D69" t="s">
        <v>33</v>
      </c>
      <c r="E69" t="s">
        <v>9</v>
      </c>
      <c r="F69" t="str">
        <f t="shared" si="3"/>
        <v>Jesse Hershman, Rafael Dionello6</v>
      </c>
      <c r="G69">
        <v>118</v>
      </c>
      <c r="H69">
        <v>118</v>
      </c>
      <c r="I69" t="s">
        <v>30</v>
      </c>
      <c r="J69" t="s">
        <v>6</v>
      </c>
      <c r="K69">
        <f t="shared" si="4"/>
        <v>0</v>
      </c>
      <c r="L69">
        <f t="shared" si="5"/>
        <v>0</v>
      </c>
    </row>
    <row r="70" spans="2:12" x14ac:dyDescent="0.25">
      <c r="B70">
        <v>1</v>
      </c>
      <c r="C70">
        <v>6</v>
      </c>
      <c r="D70" t="s">
        <v>29</v>
      </c>
      <c r="E70" t="s">
        <v>5</v>
      </c>
      <c r="F70" t="str">
        <f t="shared" si="3"/>
        <v>mark silva6</v>
      </c>
      <c r="G70">
        <v>119</v>
      </c>
      <c r="H70">
        <v>66</v>
      </c>
      <c r="I70" t="s">
        <v>26</v>
      </c>
      <c r="J70" t="s">
        <v>2</v>
      </c>
      <c r="K70">
        <f t="shared" si="4"/>
        <v>0</v>
      </c>
      <c r="L70">
        <f t="shared" si="5"/>
        <v>0</v>
      </c>
    </row>
    <row r="71" spans="2:12" x14ac:dyDescent="0.25">
      <c r="B71">
        <v>1</v>
      </c>
      <c r="C71">
        <v>6</v>
      </c>
      <c r="D71" t="s">
        <v>31</v>
      </c>
      <c r="E71" t="s">
        <v>7</v>
      </c>
      <c r="F71" t="str">
        <f t="shared" si="3"/>
        <v>Stefan Hilts6</v>
      </c>
      <c r="G71">
        <v>122</v>
      </c>
      <c r="H71">
        <v>100</v>
      </c>
      <c r="I71" t="s">
        <v>28</v>
      </c>
      <c r="J71" t="s">
        <v>4</v>
      </c>
      <c r="K71">
        <f t="shared" si="4"/>
        <v>0</v>
      </c>
      <c r="L71">
        <f t="shared" si="5"/>
        <v>0</v>
      </c>
    </row>
    <row r="72" spans="2:12" x14ac:dyDescent="0.25">
      <c r="B72">
        <v>0</v>
      </c>
      <c r="C72">
        <v>6</v>
      </c>
      <c r="D72" t="s">
        <v>32</v>
      </c>
      <c r="E72" t="s">
        <v>8</v>
      </c>
      <c r="F72" t="str">
        <f t="shared" si="3"/>
        <v>Emile Chin-Dickey6</v>
      </c>
      <c r="G72">
        <v>125</v>
      </c>
      <c r="H72">
        <v>114</v>
      </c>
      <c r="I72" t="s">
        <v>35</v>
      </c>
      <c r="J72" t="s">
        <v>11</v>
      </c>
      <c r="K72">
        <f t="shared" si="4"/>
        <v>0</v>
      </c>
      <c r="L72">
        <f t="shared" si="5"/>
        <v>0</v>
      </c>
    </row>
    <row r="73" spans="2:12" x14ac:dyDescent="0.25">
      <c r="B73">
        <v>0</v>
      </c>
      <c r="C73">
        <v>6</v>
      </c>
      <c r="D73" t="s">
        <v>25</v>
      </c>
      <c r="E73" t="s">
        <v>1</v>
      </c>
      <c r="F73" t="str">
        <f t="shared" si="3"/>
        <v>Robert Hilton6</v>
      </c>
      <c r="G73">
        <v>132</v>
      </c>
      <c r="H73">
        <v>142</v>
      </c>
      <c r="I73" t="s">
        <v>27</v>
      </c>
      <c r="J73" t="s">
        <v>3</v>
      </c>
      <c r="K73">
        <f t="shared" si="4"/>
        <v>0</v>
      </c>
      <c r="L73">
        <f t="shared" si="5"/>
        <v>0</v>
      </c>
    </row>
    <row r="74" spans="2:12" x14ac:dyDescent="0.25">
      <c r="B74">
        <v>1</v>
      </c>
      <c r="C74">
        <v>6</v>
      </c>
      <c r="D74" t="s">
        <v>27</v>
      </c>
      <c r="E74" t="s">
        <v>3</v>
      </c>
      <c r="F74" t="str">
        <f t="shared" si="3"/>
        <v>Andrew Joynt6</v>
      </c>
      <c r="G74">
        <v>142</v>
      </c>
      <c r="H74">
        <v>132</v>
      </c>
      <c r="I74" t="s">
        <v>25</v>
      </c>
      <c r="J74" t="s">
        <v>1</v>
      </c>
      <c r="K74">
        <f t="shared" si="4"/>
        <v>1</v>
      </c>
      <c r="L74">
        <f t="shared" si="5"/>
        <v>0</v>
      </c>
    </row>
    <row r="75" spans="2:12" x14ac:dyDescent="0.25">
      <c r="B75">
        <v>1</v>
      </c>
      <c r="C75">
        <v>7</v>
      </c>
      <c r="D75" t="s">
        <v>28</v>
      </c>
      <c r="E75" t="s">
        <v>4</v>
      </c>
      <c r="F75" t="str">
        <f t="shared" si="3"/>
        <v>Paulo Silva7</v>
      </c>
      <c r="G75">
        <v>64</v>
      </c>
      <c r="H75">
        <v>104</v>
      </c>
      <c r="I75" t="s">
        <v>27</v>
      </c>
      <c r="J75" t="s">
        <v>3</v>
      </c>
      <c r="K75">
        <f t="shared" si="4"/>
        <v>0</v>
      </c>
      <c r="L75">
        <f t="shared" si="5"/>
        <v>1</v>
      </c>
    </row>
    <row r="76" spans="2:12" x14ac:dyDescent="0.25">
      <c r="B76">
        <v>0</v>
      </c>
      <c r="C76">
        <v>7</v>
      </c>
      <c r="D76" t="s">
        <v>33</v>
      </c>
      <c r="E76" t="s">
        <v>9</v>
      </c>
      <c r="F76" t="str">
        <f t="shared" si="3"/>
        <v>Jesse Hershman, Rafael Dionello7</v>
      </c>
      <c r="G76">
        <v>86</v>
      </c>
      <c r="H76">
        <v>111</v>
      </c>
      <c r="I76" t="s">
        <v>34</v>
      </c>
      <c r="J76" t="s">
        <v>10</v>
      </c>
      <c r="K76">
        <f t="shared" si="4"/>
        <v>0</v>
      </c>
      <c r="L76">
        <f t="shared" si="5"/>
        <v>0</v>
      </c>
    </row>
    <row r="77" spans="2:12" x14ac:dyDescent="0.25">
      <c r="B77">
        <v>0</v>
      </c>
      <c r="C77">
        <v>7</v>
      </c>
      <c r="D77" t="s">
        <v>25</v>
      </c>
      <c r="E77" t="s">
        <v>1</v>
      </c>
      <c r="F77" t="str">
        <f t="shared" si="3"/>
        <v>Robert Hilton7</v>
      </c>
      <c r="G77">
        <v>97</v>
      </c>
      <c r="H77">
        <v>120</v>
      </c>
      <c r="I77" t="s">
        <v>26</v>
      </c>
      <c r="J77" t="s">
        <v>2</v>
      </c>
      <c r="K77">
        <f t="shared" si="4"/>
        <v>0</v>
      </c>
      <c r="L77">
        <f t="shared" si="5"/>
        <v>0</v>
      </c>
    </row>
    <row r="78" spans="2:12" x14ac:dyDescent="0.25">
      <c r="B78">
        <v>1</v>
      </c>
      <c r="C78">
        <v>7</v>
      </c>
      <c r="D78" t="s">
        <v>32</v>
      </c>
      <c r="E78" t="s">
        <v>8</v>
      </c>
      <c r="F78" t="str">
        <f t="shared" si="3"/>
        <v>Emile Chin-Dickey7</v>
      </c>
      <c r="G78">
        <v>101</v>
      </c>
      <c r="H78">
        <v>102</v>
      </c>
      <c r="I78" t="s">
        <v>31</v>
      </c>
      <c r="J78" t="s">
        <v>7</v>
      </c>
      <c r="K78">
        <f t="shared" si="4"/>
        <v>0</v>
      </c>
      <c r="L78">
        <f t="shared" si="5"/>
        <v>0</v>
      </c>
    </row>
    <row r="79" spans="2:12" x14ac:dyDescent="0.25">
      <c r="B79">
        <v>0</v>
      </c>
      <c r="C79">
        <v>7</v>
      </c>
      <c r="D79" t="s">
        <v>31</v>
      </c>
      <c r="E79" t="s">
        <v>7</v>
      </c>
      <c r="F79" t="str">
        <f t="shared" si="3"/>
        <v>Stefan Hilts7</v>
      </c>
      <c r="G79">
        <v>102</v>
      </c>
      <c r="H79">
        <v>101</v>
      </c>
      <c r="I79" t="s">
        <v>32</v>
      </c>
      <c r="J79" t="s">
        <v>8</v>
      </c>
      <c r="K79">
        <f t="shared" si="4"/>
        <v>0</v>
      </c>
      <c r="L79">
        <f t="shared" si="5"/>
        <v>0</v>
      </c>
    </row>
    <row r="80" spans="2:12" x14ac:dyDescent="0.25">
      <c r="B80">
        <v>0</v>
      </c>
      <c r="C80">
        <v>7</v>
      </c>
      <c r="D80" t="s">
        <v>27</v>
      </c>
      <c r="E80" t="s">
        <v>3</v>
      </c>
      <c r="F80" t="str">
        <f t="shared" si="3"/>
        <v>Andrew Joynt7</v>
      </c>
      <c r="G80">
        <v>104</v>
      </c>
      <c r="H80">
        <v>64</v>
      </c>
      <c r="I80" t="s">
        <v>28</v>
      </c>
      <c r="J80" t="s">
        <v>4</v>
      </c>
      <c r="K80">
        <f t="shared" si="4"/>
        <v>0</v>
      </c>
      <c r="L80">
        <f t="shared" si="5"/>
        <v>0</v>
      </c>
    </row>
    <row r="81" spans="2:12" x14ac:dyDescent="0.25">
      <c r="B81">
        <v>0</v>
      </c>
      <c r="C81">
        <v>7</v>
      </c>
      <c r="D81" t="s">
        <v>29</v>
      </c>
      <c r="E81" t="s">
        <v>5</v>
      </c>
      <c r="F81" t="str">
        <f t="shared" si="3"/>
        <v>mark silva7</v>
      </c>
      <c r="G81">
        <v>108</v>
      </c>
      <c r="H81">
        <v>110</v>
      </c>
      <c r="I81" t="s">
        <v>30</v>
      </c>
      <c r="J81" t="s">
        <v>6</v>
      </c>
      <c r="K81">
        <f t="shared" si="4"/>
        <v>0</v>
      </c>
      <c r="L81">
        <f t="shared" si="5"/>
        <v>0</v>
      </c>
    </row>
    <row r="82" spans="2:12" x14ac:dyDescent="0.25">
      <c r="B82">
        <v>1</v>
      </c>
      <c r="C82">
        <v>7</v>
      </c>
      <c r="D82" t="s">
        <v>30</v>
      </c>
      <c r="E82" t="s">
        <v>6</v>
      </c>
      <c r="F82" t="str">
        <f t="shared" si="3"/>
        <v>Karl Richardson7</v>
      </c>
      <c r="G82">
        <v>110</v>
      </c>
      <c r="H82">
        <v>108</v>
      </c>
      <c r="I82" t="s">
        <v>29</v>
      </c>
      <c r="J82" t="s">
        <v>5</v>
      </c>
      <c r="K82">
        <f t="shared" si="4"/>
        <v>0</v>
      </c>
      <c r="L82">
        <f t="shared" si="5"/>
        <v>0</v>
      </c>
    </row>
    <row r="83" spans="2:12" x14ac:dyDescent="0.25">
      <c r="B83">
        <v>1</v>
      </c>
      <c r="C83">
        <v>7</v>
      </c>
      <c r="D83" t="s">
        <v>34</v>
      </c>
      <c r="E83" t="s">
        <v>10</v>
      </c>
      <c r="F83" t="str">
        <f t="shared" si="3"/>
        <v>Greg Smith7</v>
      </c>
      <c r="G83">
        <v>111</v>
      </c>
      <c r="H83">
        <v>86</v>
      </c>
      <c r="I83" t="s">
        <v>33</v>
      </c>
      <c r="J83" t="s">
        <v>9</v>
      </c>
      <c r="K83">
        <f t="shared" si="4"/>
        <v>0</v>
      </c>
      <c r="L83">
        <f t="shared" si="5"/>
        <v>0</v>
      </c>
    </row>
    <row r="84" spans="2:12" x14ac:dyDescent="0.25">
      <c r="B84">
        <v>1</v>
      </c>
      <c r="C84">
        <v>7</v>
      </c>
      <c r="D84" t="s">
        <v>35</v>
      </c>
      <c r="E84" t="s">
        <v>11</v>
      </c>
      <c r="F84" t="str">
        <f t="shared" si="3"/>
        <v>Stephen Joynt7</v>
      </c>
      <c r="G84">
        <v>115</v>
      </c>
      <c r="H84">
        <v>137</v>
      </c>
      <c r="I84" t="s">
        <v>24</v>
      </c>
      <c r="J84" t="s">
        <v>0</v>
      </c>
      <c r="K84">
        <f t="shared" si="4"/>
        <v>0</v>
      </c>
      <c r="L84">
        <f t="shared" si="5"/>
        <v>0</v>
      </c>
    </row>
    <row r="85" spans="2:12" x14ac:dyDescent="0.25">
      <c r="B85">
        <v>1</v>
      </c>
      <c r="C85">
        <v>7</v>
      </c>
      <c r="D85" t="s">
        <v>26</v>
      </c>
      <c r="E85" t="s">
        <v>2</v>
      </c>
      <c r="F85" t="str">
        <f t="shared" si="3"/>
        <v>William Schager7</v>
      </c>
      <c r="G85">
        <v>120</v>
      </c>
      <c r="H85">
        <v>97</v>
      </c>
      <c r="I85" t="s">
        <v>25</v>
      </c>
      <c r="J85" t="s">
        <v>1</v>
      </c>
      <c r="K85">
        <f t="shared" si="4"/>
        <v>0</v>
      </c>
      <c r="L85">
        <f t="shared" si="5"/>
        <v>0</v>
      </c>
    </row>
    <row r="86" spans="2:12" x14ac:dyDescent="0.25">
      <c r="B86">
        <v>0</v>
      </c>
      <c r="C86">
        <v>7</v>
      </c>
      <c r="D86" t="s">
        <v>24</v>
      </c>
      <c r="E86" t="s">
        <v>0</v>
      </c>
      <c r="F86" t="str">
        <f t="shared" si="3"/>
        <v>Dan Cohen7</v>
      </c>
      <c r="G86">
        <v>137</v>
      </c>
      <c r="H86">
        <v>115</v>
      </c>
      <c r="I86" t="s">
        <v>35</v>
      </c>
      <c r="J86" t="s">
        <v>11</v>
      </c>
      <c r="K86">
        <f t="shared" si="4"/>
        <v>1</v>
      </c>
      <c r="L86">
        <f t="shared" si="5"/>
        <v>0</v>
      </c>
    </row>
    <row r="87" spans="2:12" x14ac:dyDescent="0.25">
      <c r="B87">
        <v>1</v>
      </c>
      <c r="C87">
        <v>8</v>
      </c>
      <c r="D87" t="s">
        <v>27</v>
      </c>
      <c r="E87" t="s">
        <v>3</v>
      </c>
      <c r="F87" t="str">
        <f t="shared" si="3"/>
        <v>Andrew Joynt8</v>
      </c>
      <c r="G87">
        <v>62</v>
      </c>
      <c r="H87">
        <v>100</v>
      </c>
      <c r="I87" t="s">
        <v>32</v>
      </c>
      <c r="J87" t="s">
        <v>8</v>
      </c>
      <c r="K87">
        <f t="shared" si="4"/>
        <v>0</v>
      </c>
      <c r="L87">
        <f t="shared" si="5"/>
        <v>1</v>
      </c>
    </row>
    <row r="88" spans="2:12" x14ac:dyDescent="0.25">
      <c r="B88">
        <v>0</v>
      </c>
      <c r="C88">
        <v>8</v>
      </c>
      <c r="D88" t="s">
        <v>32</v>
      </c>
      <c r="E88" t="s">
        <v>8</v>
      </c>
      <c r="F88" t="str">
        <f t="shared" si="3"/>
        <v>Emile Chin-Dickey8</v>
      </c>
      <c r="G88">
        <v>100</v>
      </c>
      <c r="H88">
        <v>62</v>
      </c>
      <c r="I88" t="s">
        <v>27</v>
      </c>
      <c r="J88" t="s">
        <v>3</v>
      </c>
      <c r="K88">
        <f t="shared" si="4"/>
        <v>0</v>
      </c>
      <c r="L88">
        <f t="shared" si="5"/>
        <v>0</v>
      </c>
    </row>
    <row r="89" spans="2:12" x14ac:dyDescent="0.25">
      <c r="B89">
        <v>0</v>
      </c>
      <c r="C89">
        <v>8</v>
      </c>
      <c r="D89" t="s">
        <v>28</v>
      </c>
      <c r="E89" t="s">
        <v>4</v>
      </c>
      <c r="F89" t="str">
        <f t="shared" si="3"/>
        <v>Paulo Silva8</v>
      </c>
      <c r="G89">
        <v>101</v>
      </c>
      <c r="H89">
        <v>118</v>
      </c>
      <c r="I89" t="s">
        <v>26</v>
      </c>
      <c r="J89" t="s">
        <v>2</v>
      </c>
      <c r="K89">
        <f t="shared" si="4"/>
        <v>0</v>
      </c>
      <c r="L89">
        <f t="shared" si="5"/>
        <v>0</v>
      </c>
    </row>
    <row r="90" spans="2:12" x14ac:dyDescent="0.25">
      <c r="B90">
        <v>0</v>
      </c>
      <c r="C90">
        <v>8</v>
      </c>
      <c r="D90" t="s">
        <v>33</v>
      </c>
      <c r="E90" t="s">
        <v>9</v>
      </c>
      <c r="F90" t="str">
        <f t="shared" si="3"/>
        <v>Jesse Hershman, Rafael Dionello8</v>
      </c>
      <c r="G90">
        <v>104</v>
      </c>
      <c r="H90">
        <v>106</v>
      </c>
      <c r="I90" t="s">
        <v>24</v>
      </c>
      <c r="J90" t="s">
        <v>0</v>
      </c>
      <c r="K90">
        <f t="shared" si="4"/>
        <v>0</v>
      </c>
      <c r="L90">
        <f t="shared" si="5"/>
        <v>0</v>
      </c>
    </row>
    <row r="91" spans="2:12" x14ac:dyDescent="0.25">
      <c r="B91">
        <v>0</v>
      </c>
      <c r="C91">
        <v>8</v>
      </c>
      <c r="D91" t="s">
        <v>35</v>
      </c>
      <c r="E91" t="s">
        <v>11</v>
      </c>
      <c r="F91" t="str">
        <f t="shared" si="3"/>
        <v>Stephen Joynt8</v>
      </c>
      <c r="G91">
        <v>104</v>
      </c>
      <c r="H91">
        <v>110</v>
      </c>
      <c r="I91" t="s">
        <v>31</v>
      </c>
      <c r="J91" t="s">
        <v>7</v>
      </c>
      <c r="K91">
        <f t="shared" si="4"/>
        <v>0</v>
      </c>
      <c r="L91">
        <f t="shared" si="5"/>
        <v>0</v>
      </c>
    </row>
    <row r="92" spans="2:12" x14ac:dyDescent="0.25">
      <c r="B92">
        <v>1</v>
      </c>
      <c r="C92">
        <v>8</v>
      </c>
      <c r="D92" t="s">
        <v>24</v>
      </c>
      <c r="E92" t="s">
        <v>0</v>
      </c>
      <c r="F92" t="str">
        <f t="shared" si="3"/>
        <v>Dan Cohen8</v>
      </c>
      <c r="G92">
        <v>106</v>
      </c>
      <c r="H92">
        <v>104</v>
      </c>
      <c r="I92" t="s">
        <v>33</v>
      </c>
      <c r="J92" t="s">
        <v>9</v>
      </c>
      <c r="K92">
        <f t="shared" si="4"/>
        <v>0</v>
      </c>
      <c r="L92">
        <f t="shared" si="5"/>
        <v>0</v>
      </c>
    </row>
    <row r="93" spans="2:12" x14ac:dyDescent="0.25">
      <c r="B93">
        <v>0</v>
      </c>
      <c r="C93">
        <v>8</v>
      </c>
      <c r="D93" t="s">
        <v>34</v>
      </c>
      <c r="E93" t="s">
        <v>10</v>
      </c>
      <c r="F93" t="str">
        <f t="shared" si="3"/>
        <v>Greg Smith8</v>
      </c>
      <c r="G93">
        <v>109</v>
      </c>
      <c r="H93">
        <v>113</v>
      </c>
      <c r="I93" t="s">
        <v>29</v>
      </c>
      <c r="J93" t="s">
        <v>5</v>
      </c>
      <c r="K93">
        <f t="shared" si="4"/>
        <v>0</v>
      </c>
      <c r="L93">
        <f t="shared" si="5"/>
        <v>0</v>
      </c>
    </row>
    <row r="94" spans="2:12" x14ac:dyDescent="0.25">
      <c r="B94">
        <v>1</v>
      </c>
      <c r="C94">
        <v>8</v>
      </c>
      <c r="D94" t="s">
        <v>31</v>
      </c>
      <c r="E94" t="s">
        <v>7</v>
      </c>
      <c r="F94" t="str">
        <f t="shared" si="3"/>
        <v>Stefan Hilts8</v>
      </c>
      <c r="G94">
        <v>110</v>
      </c>
      <c r="H94">
        <v>104</v>
      </c>
      <c r="I94" t="s">
        <v>35</v>
      </c>
      <c r="J94" t="s">
        <v>11</v>
      </c>
      <c r="K94">
        <f t="shared" si="4"/>
        <v>0</v>
      </c>
      <c r="L94">
        <f t="shared" si="5"/>
        <v>0</v>
      </c>
    </row>
    <row r="95" spans="2:12" x14ac:dyDescent="0.25">
      <c r="B95">
        <v>1</v>
      </c>
      <c r="C95">
        <v>8</v>
      </c>
      <c r="D95" t="s">
        <v>29</v>
      </c>
      <c r="E95" t="s">
        <v>5</v>
      </c>
      <c r="F95" t="str">
        <f t="shared" si="3"/>
        <v>mark silva8</v>
      </c>
      <c r="G95">
        <v>113</v>
      </c>
      <c r="H95">
        <v>109</v>
      </c>
      <c r="I95" t="s">
        <v>34</v>
      </c>
      <c r="J95" t="s">
        <v>10</v>
      </c>
      <c r="K95">
        <f t="shared" si="4"/>
        <v>0</v>
      </c>
      <c r="L95">
        <f t="shared" si="5"/>
        <v>0</v>
      </c>
    </row>
    <row r="96" spans="2:12" x14ac:dyDescent="0.25">
      <c r="B96">
        <v>1</v>
      </c>
      <c r="C96">
        <v>8</v>
      </c>
      <c r="D96" t="s">
        <v>26</v>
      </c>
      <c r="E96" t="s">
        <v>2</v>
      </c>
      <c r="F96" t="str">
        <f t="shared" si="3"/>
        <v>William Schager8</v>
      </c>
      <c r="G96">
        <v>118</v>
      </c>
      <c r="H96">
        <v>101</v>
      </c>
      <c r="I96" t="s">
        <v>28</v>
      </c>
      <c r="J96" t="s">
        <v>4</v>
      </c>
      <c r="K96">
        <f t="shared" si="4"/>
        <v>0</v>
      </c>
      <c r="L96">
        <f t="shared" si="5"/>
        <v>0</v>
      </c>
    </row>
    <row r="97" spans="2:12" x14ac:dyDescent="0.25">
      <c r="B97">
        <v>0</v>
      </c>
      <c r="C97">
        <v>8</v>
      </c>
      <c r="D97" t="s">
        <v>30</v>
      </c>
      <c r="E97" t="s">
        <v>6</v>
      </c>
      <c r="F97" t="str">
        <f t="shared" si="3"/>
        <v>Karl Richardson8</v>
      </c>
      <c r="G97">
        <v>119</v>
      </c>
      <c r="H97">
        <v>123</v>
      </c>
      <c r="I97" t="s">
        <v>25</v>
      </c>
      <c r="J97" t="s">
        <v>1</v>
      </c>
      <c r="K97">
        <f t="shared" si="4"/>
        <v>0</v>
      </c>
      <c r="L97">
        <f t="shared" si="5"/>
        <v>0</v>
      </c>
    </row>
    <row r="98" spans="2:12" x14ac:dyDescent="0.25">
      <c r="B98">
        <v>1</v>
      </c>
      <c r="C98">
        <v>8</v>
      </c>
      <c r="D98" t="s">
        <v>25</v>
      </c>
      <c r="E98" t="s">
        <v>1</v>
      </c>
      <c r="F98" t="str">
        <f t="shared" si="3"/>
        <v>Robert Hilton8</v>
      </c>
      <c r="G98">
        <v>123</v>
      </c>
      <c r="H98">
        <v>119</v>
      </c>
      <c r="I98" t="s">
        <v>30</v>
      </c>
      <c r="J98" t="s">
        <v>6</v>
      </c>
      <c r="K98">
        <f t="shared" si="4"/>
        <v>1</v>
      </c>
      <c r="L98">
        <f t="shared" si="5"/>
        <v>0</v>
      </c>
    </row>
    <row r="99" spans="2:12" x14ac:dyDescent="0.25">
      <c r="B99">
        <v>0</v>
      </c>
      <c r="C99">
        <v>9</v>
      </c>
      <c r="D99" t="s">
        <v>25</v>
      </c>
      <c r="E99" t="s">
        <v>1</v>
      </c>
      <c r="F99" t="str">
        <f t="shared" si="3"/>
        <v>Robert Hilton9</v>
      </c>
      <c r="G99">
        <v>63</v>
      </c>
      <c r="H99">
        <v>89</v>
      </c>
      <c r="I99" t="s">
        <v>34</v>
      </c>
      <c r="J99" t="s">
        <v>10</v>
      </c>
      <c r="K99">
        <f t="shared" si="4"/>
        <v>0</v>
      </c>
      <c r="L99">
        <f t="shared" si="5"/>
        <v>1</v>
      </c>
    </row>
    <row r="100" spans="2:12" x14ac:dyDescent="0.25">
      <c r="B100">
        <v>0</v>
      </c>
      <c r="C100">
        <v>9</v>
      </c>
      <c r="D100" t="s">
        <v>29</v>
      </c>
      <c r="E100" t="s">
        <v>5</v>
      </c>
      <c r="F100" t="str">
        <f t="shared" si="3"/>
        <v>mark silva9</v>
      </c>
      <c r="G100">
        <v>75</v>
      </c>
      <c r="H100">
        <v>116</v>
      </c>
      <c r="I100" t="s">
        <v>33</v>
      </c>
      <c r="J100" t="s">
        <v>9</v>
      </c>
      <c r="K100">
        <f t="shared" si="4"/>
        <v>0</v>
      </c>
      <c r="L100">
        <f t="shared" si="5"/>
        <v>0</v>
      </c>
    </row>
    <row r="101" spans="2:12" x14ac:dyDescent="0.25">
      <c r="B101">
        <v>0</v>
      </c>
      <c r="C101">
        <v>9</v>
      </c>
      <c r="D101" t="s">
        <v>27</v>
      </c>
      <c r="E101" t="s">
        <v>3</v>
      </c>
      <c r="F101" t="str">
        <f t="shared" si="3"/>
        <v>Andrew Joynt9</v>
      </c>
      <c r="G101">
        <v>77</v>
      </c>
      <c r="H101">
        <v>118</v>
      </c>
      <c r="I101" t="s">
        <v>35</v>
      </c>
      <c r="J101" t="s">
        <v>11</v>
      </c>
      <c r="K101">
        <f t="shared" si="4"/>
        <v>0</v>
      </c>
      <c r="L101">
        <f t="shared" si="5"/>
        <v>0</v>
      </c>
    </row>
    <row r="102" spans="2:12" x14ac:dyDescent="0.25">
      <c r="B102">
        <v>1</v>
      </c>
      <c r="C102">
        <v>9</v>
      </c>
      <c r="D102" t="s">
        <v>30</v>
      </c>
      <c r="E102" t="s">
        <v>6</v>
      </c>
      <c r="F102" t="str">
        <f t="shared" si="3"/>
        <v>Karl Richardson9</v>
      </c>
      <c r="G102">
        <v>78</v>
      </c>
      <c r="H102">
        <v>82</v>
      </c>
      <c r="I102" t="s">
        <v>28</v>
      </c>
      <c r="J102" t="s">
        <v>4</v>
      </c>
      <c r="K102">
        <f t="shared" si="4"/>
        <v>0</v>
      </c>
      <c r="L102">
        <f t="shared" si="5"/>
        <v>0</v>
      </c>
    </row>
    <row r="103" spans="2:12" x14ac:dyDescent="0.25">
      <c r="B103">
        <v>0</v>
      </c>
      <c r="C103">
        <v>9</v>
      </c>
      <c r="D103" t="s">
        <v>28</v>
      </c>
      <c r="E103" t="s">
        <v>4</v>
      </c>
      <c r="F103" t="str">
        <f t="shared" si="3"/>
        <v>Paulo Silva9</v>
      </c>
      <c r="G103">
        <v>82</v>
      </c>
      <c r="H103">
        <v>78</v>
      </c>
      <c r="I103" t="s">
        <v>30</v>
      </c>
      <c r="J103" t="s">
        <v>6</v>
      </c>
      <c r="K103">
        <f t="shared" si="4"/>
        <v>0</v>
      </c>
      <c r="L103">
        <f t="shared" si="5"/>
        <v>0</v>
      </c>
    </row>
    <row r="104" spans="2:12" x14ac:dyDescent="0.25">
      <c r="B104">
        <v>0</v>
      </c>
      <c r="C104">
        <v>9</v>
      </c>
      <c r="D104" t="s">
        <v>26</v>
      </c>
      <c r="E104" t="s">
        <v>2</v>
      </c>
      <c r="F104" t="str">
        <f t="shared" si="3"/>
        <v>William Schager9</v>
      </c>
      <c r="G104">
        <v>83</v>
      </c>
      <c r="H104">
        <v>97</v>
      </c>
      <c r="I104" t="s">
        <v>32</v>
      </c>
      <c r="J104" t="s">
        <v>8</v>
      </c>
      <c r="K104">
        <f t="shared" si="4"/>
        <v>0</v>
      </c>
      <c r="L104">
        <f t="shared" si="5"/>
        <v>0</v>
      </c>
    </row>
    <row r="105" spans="2:12" x14ac:dyDescent="0.25">
      <c r="B105">
        <v>1</v>
      </c>
      <c r="C105">
        <v>9</v>
      </c>
      <c r="D105" t="s">
        <v>34</v>
      </c>
      <c r="E105" t="s">
        <v>10</v>
      </c>
      <c r="F105" t="str">
        <f t="shared" si="3"/>
        <v>Greg Smith9</v>
      </c>
      <c r="G105">
        <v>89</v>
      </c>
      <c r="H105">
        <v>63</v>
      </c>
      <c r="I105" t="s">
        <v>25</v>
      </c>
      <c r="J105" t="s">
        <v>1</v>
      </c>
      <c r="K105">
        <f t="shared" si="4"/>
        <v>0</v>
      </c>
      <c r="L105">
        <f t="shared" si="5"/>
        <v>0</v>
      </c>
    </row>
    <row r="106" spans="2:12" x14ac:dyDescent="0.25">
      <c r="B106">
        <v>1</v>
      </c>
      <c r="C106">
        <v>9</v>
      </c>
      <c r="D106" t="s">
        <v>32</v>
      </c>
      <c r="E106" t="s">
        <v>8</v>
      </c>
      <c r="F106" t="str">
        <f t="shared" si="3"/>
        <v>Emile Chin-Dickey9</v>
      </c>
      <c r="G106">
        <v>97</v>
      </c>
      <c r="H106">
        <v>83</v>
      </c>
      <c r="I106" t="s">
        <v>26</v>
      </c>
      <c r="J106" t="s">
        <v>2</v>
      </c>
      <c r="K106">
        <f t="shared" si="4"/>
        <v>0</v>
      </c>
      <c r="L106">
        <f t="shared" si="5"/>
        <v>0</v>
      </c>
    </row>
    <row r="107" spans="2:12" x14ac:dyDescent="0.25">
      <c r="B107">
        <v>1</v>
      </c>
      <c r="C107">
        <v>9</v>
      </c>
      <c r="D107" t="s">
        <v>31</v>
      </c>
      <c r="E107" t="s">
        <v>7</v>
      </c>
      <c r="F107" t="str">
        <f t="shared" si="3"/>
        <v>Stefan Hilts9</v>
      </c>
      <c r="G107">
        <v>105</v>
      </c>
      <c r="H107">
        <v>124</v>
      </c>
      <c r="I107" t="s">
        <v>24</v>
      </c>
      <c r="J107" t="s">
        <v>0</v>
      </c>
      <c r="K107">
        <f t="shared" si="4"/>
        <v>0</v>
      </c>
      <c r="L107">
        <f t="shared" si="5"/>
        <v>0</v>
      </c>
    </row>
    <row r="108" spans="2:12" x14ac:dyDescent="0.25">
      <c r="B108">
        <v>1</v>
      </c>
      <c r="C108">
        <v>9</v>
      </c>
      <c r="D108" t="s">
        <v>33</v>
      </c>
      <c r="E108" t="s">
        <v>9</v>
      </c>
      <c r="F108" t="str">
        <f t="shared" si="3"/>
        <v>Jesse Hershman, Rafael Dionello9</v>
      </c>
      <c r="G108">
        <v>116</v>
      </c>
      <c r="H108">
        <v>75</v>
      </c>
      <c r="I108" t="s">
        <v>29</v>
      </c>
      <c r="J108" t="s">
        <v>5</v>
      </c>
      <c r="K108">
        <f t="shared" si="4"/>
        <v>0</v>
      </c>
      <c r="L108">
        <f t="shared" si="5"/>
        <v>0</v>
      </c>
    </row>
    <row r="109" spans="2:12" x14ac:dyDescent="0.25">
      <c r="B109">
        <v>1</v>
      </c>
      <c r="C109">
        <v>9</v>
      </c>
      <c r="D109" t="s">
        <v>35</v>
      </c>
      <c r="E109" t="s">
        <v>11</v>
      </c>
      <c r="F109" t="str">
        <f t="shared" si="3"/>
        <v>Stephen Joynt9</v>
      </c>
      <c r="G109">
        <v>118</v>
      </c>
      <c r="H109">
        <v>77</v>
      </c>
      <c r="I109" t="s">
        <v>27</v>
      </c>
      <c r="J109" t="s">
        <v>3</v>
      </c>
      <c r="K109">
        <f t="shared" si="4"/>
        <v>0</v>
      </c>
      <c r="L109">
        <f t="shared" si="5"/>
        <v>0</v>
      </c>
    </row>
    <row r="110" spans="2:12" x14ac:dyDescent="0.25">
      <c r="B110">
        <v>0</v>
      </c>
      <c r="C110">
        <v>9</v>
      </c>
      <c r="D110" t="s">
        <v>24</v>
      </c>
      <c r="E110" t="s">
        <v>0</v>
      </c>
      <c r="F110" t="str">
        <f t="shared" si="3"/>
        <v>Dan Cohen9</v>
      </c>
      <c r="G110">
        <v>124</v>
      </c>
      <c r="H110">
        <v>105</v>
      </c>
      <c r="I110" t="s">
        <v>31</v>
      </c>
      <c r="J110" t="s">
        <v>7</v>
      </c>
      <c r="K110">
        <f t="shared" si="4"/>
        <v>1</v>
      </c>
      <c r="L110">
        <f t="shared" si="5"/>
        <v>0</v>
      </c>
    </row>
    <row r="111" spans="2:12" x14ac:dyDescent="0.25">
      <c r="B111">
        <v>1</v>
      </c>
      <c r="C111">
        <v>10</v>
      </c>
      <c r="D111" t="s">
        <v>27</v>
      </c>
      <c r="E111" t="s">
        <v>3</v>
      </c>
      <c r="F111" t="str">
        <f t="shared" si="3"/>
        <v>Andrew Joynt10</v>
      </c>
      <c r="G111">
        <v>36</v>
      </c>
      <c r="H111">
        <v>131</v>
      </c>
      <c r="I111" t="s">
        <v>31</v>
      </c>
      <c r="J111" t="s">
        <v>7</v>
      </c>
      <c r="K111">
        <f t="shared" si="4"/>
        <v>0</v>
      </c>
      <c r="L111">
        <f t="shared" si="5"/>
        <v>1</v>
      </c>
    </row>
    <row r="112" spans="2:12" x14ac:dyDescent="0.25">
      <c r="B112">
        <v>1</v>
      </c>
      <c r="C112">
        <v>10</v>
      </c>
      <c r="D112" t="s">
        <v>30</v>
      </c>
      <c r="E112" t="s">
        <v>6</v>
      </c>
      <c r="F112" t="str">
        <f t="shared" si="3"/>
        <v>Karl Richardson10</v>
      </c>
      <c r="G112">
        <v>49</v>
      </c>
      <c r="H112">
        <v>95</v>
      </c>
      <c r="I112" t="s">
        <v>32</v>
      </c>
      <c r="J112" t="s">
        <v>8</v>
      </c>
      <c r="K112">
        <f t="shared" si="4"/>
        <v>0</v>
      </c>
      <c r="L112">
        <f t="shared" si="5"/>
        <v>0</v>
      </c>
    </row>
    <row r="113" spans="2:12" x14ac:dyDescent="0.25">
      <c r="B113">
        <v>0</v>
      </c>
      <c r="C113">
        <v>10</v>
      </c>
      <c r="D113" t="s">
        <v>34</v>
      </c>
      <c r="E113" t="s">
        <v>10</v>
      </c>
      <c r="F113" t="str">
        <f t="shared" si="3"/>
        <v>Greg Smith10</v>
      </c>
      <c r="G113">
        <v>72</v>
      </c>
      <c r="H113">
        <v>95</v>
      </c>
      <c r="I113" t="s">
        <v>28</v>
      </c>
      <c r="J113" t="s">
        <v>4</v>
      </c>
      <c r="K113">
        <f t="shared" si="4"/>
        <v>0</v>
      </c>
      <c r="L113">
        <f t="shared" si="5"/>
        <v>0</v>
      </c>
    </row>
    <row r="114" spans="2:12" x14ac:dyDescent="0.25">
      <c r="B114">
        <v>1</v>
      </c>
      <c r="C114">
        <v>10</v>
      </c>
      <c r="D114" t="s">
        <v>26</v>
      </c>
      <c r="E114" t="s">
        <v>2</v>
      </c>
      <c r="F114" t="str">
        <f t="shared" si="3"/>
        <v>William Schager10</v>
      </c>
      <c r="G114">
        <v>79</v>
      </c>
      <c r="H114">
        <v>98</v>
      </c>
      <c r="I114" t="s">
        <v>35</v>
      </c>
      <c r="J114" t="s">
        <v>11</v>
      </c>
      <c r="K114">
        <f t="shared" si="4"/>
        <v>0</v>
      </c>
      <c r="L114">
        <f t="shared" si="5"/>
        <v>0</v>
      </c>
    </row>
    <row r="115" spans="2:12" x14ac:dyDescent="0.25">
      <c r="B115">
        <v>0</v>
      </c>
      <c r="C115">
        <v>10</v>
      </c>
      <c r="D115" t="s">
        <v>32</v>
      </c>
      <c r="E115" t="s">
        <v>8</v>
      </c>
      <c r="F115" t="str">
        <f t="shared" si="3"/>
        <v>Emile Chin-Dickey10</v>
      </c>
      <c r="G115">
        <v>95</v>
      </c>
      <c r="H115">
        <v>49</v>
      </c>
      <c r="I115" t="s">
        <v>30</v>
      </c>
      <c r="J115" t="s">
        <v>6</v>
      </c>
      <c r="K115">
        <f t="shared" si="4"/>
        <v>0</v>
      </c>
      <c r="L115">
        <f t="shared" si="5"/>
        <v>0</v>
      </c>
    </row>
    <row r="116" spans="2:12" x14ac:dyDescent="0.25">
      <c r="B116">
        <v>1</v>
      </c>
      <c r="C116">
        <v>10</v>
      </c>
      <c r="D116" t="s">
        <v>28</v>
      </c>
      <c r="E116" t="s">
        <v>4</v>
      </c>
      <c r="F116" t="str">
        <f t="shared" si="3"/>
        <v>Paulo Silva10</v>
      </c>
      <c r="G116">
        <v>95</v>
      </c>
      <c r="H116">
        <v>72</v>
      </c>
      <c r="I116" t="s">
        <v>34</v>
      </c>
      <c r="J116" t="s">
        <v>10</v>
      </c>
      <c r="K116">
        <f t="shared" si="4"/>
        <v>0</v>
      </c>
      <c r="L116">
        <f t="shared" si="5"/>
        <v>0</v>
      </c>
    </row>
    <row r="117" spans="2:12" x14ac:dyDescent="0.25">
      <c r="B117">
        <v>1</v>
      </c>
      <c r="C117">
        <v>10</v>
      </c>
      <c r="D117" t="s">
        <v>25</v>
      </c>
      <c r="E117" t="s">
        <v>1</v>
      </c>
      <c r="F117" t="str">
        <f t="shared" si="3"/>
        <v>Robert Hilton10</v>
      </c>
      <c r="G117">
        <v>96</v>
      </c>
      <c r="H117">
        <v>114</v>
      </c>
      <c r="I117" t="s">
        <v>33</v>
      </c>
      <c r="J117" t="s">
        <v>9</v>
      </c>
      <c r="K117">
        <f t="shared" si="4"/>
        <v>0</v>
      </c>
      <c r="L117">
        <f t="shared" si="5"/>
        <v>0</v>
      </c>
    </row>
    <row r="118" spans="2:12" x14ac:dyDescent="0.25">
      <c r="B118">
        <v>0</v>
      </c>
      <c r="C118">
        <v>10</v>
      </c>
      <c r="D118" t="s">
        <v>35</v>
      </c>
      <c r="E118" t="s">
        <v>11</v>
      </c>
      <c r="F118" t="str">
        <f t="shared" si="3"/>
        <v>Stephen Joynt10</v>
      </c>
      <c r="G118">
        <v>98</v>
      </c>
      <c r="H118">
        <v>79</v>
      </c>
      <c r="I118" t="s">
        <v>26</v>
      </c>
      <c r="J118" t="s">
        <v>2</v>
      </c>
      <c r="K118">
        <f t="shared" si="4"/>
        <v>0</v>
      </c>
      <c r="L118">
        <f t="shared" si="5"/>
        <v>0</v>
      </c>
    </row>
    <row r="119" spans="2:12" x14ac:dyDescent="0.25">
      <c r="B119">
        <v>1</v>
      </c>
      <c r="C119">
        <v>10</v>
      </c>
      <c r="D119" t="s">
        <v>24</v>
      </c>
      <c r="E119" t="s">
        <v>0</v>
      </c>
      <c r="F119" t="str">
        <f t="shared" si="3"/>
        <v>Dan Cohen10</v>
      </c>
      <c r="G119">
        <v>112</v>
      </c>
      <c r="H119">
        <v>116</v>
      </c>
      <c r="I119" t="s">
        <v>29</v>
      </c>
      <c r="J119" t="s">
        <v>5</v>
      </c>
      <c r="K119">
        <f t="shared" si="4"/>
        <v>0</v>
      </c>
      <c r="L119">
        <f t="shared" si="5"/>
        <v>0</v>
      </c>
    </row>
    <row r="120" spans="2:12" x14ac:dyDescent="0.25">
      <c r="B120">
        <v>0</v>
      </c>
      <c r="C120">
        <v>10</v>
      </c>
      <c r="D120" t="s">
        <v>33</v>
      </c>
      <c r="E120" t="s">
        <v>9</v>
      </c>
      <c r="F120" t="str">
        <f t="shared" si="3"/>
        <v>Jesse Hershman, Rafael Dionello10</v>
      </c>
      <c r="G120">
        <v>114</v>
      </c>
      <c r="H120">
        <v>96</v>
      </c>
      <c r="I120" t="s">
        <v>25</v>
      </c>
      <c r="J120" t="s">
        <v>1</v>
      </c>
      <c r="K120">
        <f t="shared" si="4"/>
        <v>0</v>
      </c>
      <c r="L120">
        <f t="shared" si="5"/>
        <v>0</v>
      </c>
    </row>
    <row r="121" spans="2:12" x14ac:dyDescent="0.25">
      <c r="B121">
        <v>0</v>
      </c>
      <c r="C121">
        <v>10</v>
      </c>
      <c r="D121" t="s">
        <v>29</v>
      </c>
      <c r="E121" t="s">
        <v>5</v>
      </c>
      <c r="F121" t="str">
        <f t="shared" si="3"/>
        <v>mark silva10</v>
      </c>
      <c r="G121">
        <v>116</v>
      </c>
      <c r="H121">
        <v>112</v>
      </c>
      <c r="I121" t="s">
        <v>24</v>
      </c>
      <c r="J121" t="s">
        <v>0</v>
      </c>
      <c r="K121">
        <f t="shared" si="4"/>
        <v>0</v>
      </c>
      <c r="L121">
        <f t="shared" si="5"/>
        <v>0</v>
      </c>
    </row>
    <row r="122" spans="2:12" x14ac:dyDescent="0.25">
      <c r="B122">
        <v>0</v>
      </c>
      <c r="C122">
        <v>10</v>
      </c>
      <c r="D122" t="s">
        <v>31</v>
      </c>
      <c r="E122" t="s">
        <v>7</v>
      </c>
      <c r="F122" t="str">
        <f t="shared" si="3"/>
        <v>Stefan Hilts10</v>
      </c>
      <c r="G122">
        <v>131</v>
      </c>
      <c r="H122">
        <v>36</v>
      </c>
      <c r="I122" t="s">
        <v>27</v>
      </c>
      <c r="J122" t="s">
        <v>3</v>
      </c>
      <c r="K122">
        <f t="shared" si="4"/>
        <v>1</v>
      </c>
      <c r="L122">
        <f t="shared" si="5"/>
        <v>0</v>
      </c>
    </row>
    <row r="123" spans="2:12" x14ac:dyDescent="0.25">
      <c r="B123">
        <v>0</v>
      </c>
      <c r="C123">
        <v>11</v>
      </c>
      <c r="D123" t="s">
        <v>24</v>
      </c>
      <c r="E123" t="s">
        <v>0</v>
      </c>
      <c r="F123" t="str">
        <f t="shared" si="3"/>
        <v>Dan Cohen11</v>
      </c>
      <c r="G123">
        <v>0</v>
      </c>
      <c r="H123">
        <v>0</v>
      </c>
      <c r="I123" t="s">
        <v>27</v>
      </c>
      <c r="J123" t="s">
        <v>3</v>
      </c>
      <c r="K123">
        <f t="shared" si="4"/>
        <v>0</v>
      </c>
      <c r="L123">
        <f t="shared" si="5"/>
        <v>0</v>
      </c>
    </row>
    <row r="124" spans="2:12" x14ac:dyDescent="0.25">
      <c r="B124">
        <v>0</v>
      </c>
      <c r="C124">
        <v>11</v>
      </c>
      <c r="D124" t="s">
        <v>25</v>
      </c>
      <c r="E124" t="s">
        <v>1</v>
      </c>
      <c r="F124" t="str">
        <f t="shared" si="3"/>
        <v>Robert Hilton11</v>
      </c>
      <c r="G124">
        <v>0</v>
      </c>
      <c r="H124">
        <v>0</v>
      </c>
      <c r="I124" t="s">
        <v>29</v>
      </c>
      <c r="J124" t="s">
        <v>5</v>
      </c>
      <c r="K124">
        <f t="shared" si="4"/>
        <v>0</v>
      </c>
      <c r="L124">
        <f t="shared" si="5"/>
        <v>0</v>
      </c>
    </row>
    <row r="125" spans="2:12" x14ac:dyDescent="0.25">
      <c r="B125">
        <v>0</v>
      </c>
      <c r="C125">
        <v>11</v>
      </c>
      <c r="D125" t="s">
        <v>26</v>
      </c>
      <c r="E125" t="s">
        <v>2</v>
      </c>
      <c r="F125" t="str">
        <f t="shared" si="3"/>
        <v>William Schager11</v>
      </c>
      <c r="G125">
        <v>0</v>
      </c>
      <c r="H125">
        <v>0</v>
      </c>
      <c r="I125" t="s">
        <v>31</v>
      </c>
      <c r="J125" t="s">
        <v>7</v>
      </c>
      <c r="K125">
        <f t="shared" si="4"/>
        <v>0</v>
      </c>
      <c r="L125">
        <f t="shared" si="5"/>
        <v>0</v>
      </c>
    </row>
    <row r="126" spans="2:12" x14ac:dyDescent="0.25">
      <c r="B126">
        <v>0</v>
      </c>
      <c r="C126">
        <v>11</v>
      </c>
      <c r="D126" t="s">
        <v>28</v>
      </c>
      <c r="E126" t="s">
        <v>4</v>
      </c>
      <c r="F126" t="str">
        <f t="shared" si="3"/>
        <v>Paulo Silva11</v>
      </c>
      <c r="G126">
        <v>0</v>
      </c>
      <c r="H126">
        <v>0</v>
      </c>
      <c r="I126" t="s">
        <v>33</v>
      </c>
      <c r="J126" t="s">
        <v>9</v>
      </c>
      <c r="K126">
        <f t="shared" si="4"/>
        <v>0</v>
      </c>
      <c r="L126">
        <f t="shared" si="5"/>
        <v>0</v>
      </c>
    </row>
    <row r="127" spans="2:12" x14ac:dyDescent="0.25">
      <c r="B127">
        <v>0</v>
      </c>
      <c r="C127">
        <v>11</v>
      </c>
      <c r="D127" t="s">
        <v>30</v>
      </c>
      <c r="E127" t="s">
        <v>6</v>
      </c>
      <c r="F127" t="str">
        <f t="shared" si="3"/>
        <v>Karl Richardson11</v>
      </c>
      <c r="G127">
        <v>0</v>
      </c>
      <c r="H127">
        <v>0</v>
      </c>
      <c r="I127" t="s">
        <v>35</v>
      </c>
      <c r="J127" t="s">
        <v>11</v>
      </c>
      <c r="K127">
        <f t="shared" si="4"/>
        <v>0</v>
      </c>
      <c r="L127">
        <f t="shared" si="5"/>
        <v>0</v>
      </c>
    </row>
    <row r="128" spans="2:12" x14ac:dyDescent="0.25">
      <c r="B128">
        <v>0</v>
      </c>
      <c r="C128">
        <v>11</v>
      </c>
      <c r="D128" t="s">
        <v>32</v>
      </c>
      <c r="E128" t="s">
        <v>8</v>
      </c>
      <c r="F128" t="str">
        <f t="shared" si="3"/>
        <v>Emile Chin-Dickey11</v>
      </c>
      <c r="G128">
        <v>0</v>
      </c>
      <c r="H128">
        <v>0</v>
      </c>
      <c r="I128" t="s">
        <v>34</v>
      </c>
      <c r="J128" t="s">
        <v>10</v>
      </c>
      <c r="K128">
        <f t="shared" si="4"/>
        <v>0</v>
      </c>
      <c r="L128">
        <f t="shared" si="5"/>
        <v>0</v>
      </c>
    </row>
    <row r="129" spans="2:12" x14ac:dyDescent="0.25">
      <c r="B129">
        <v>1</v>
      </c>
      <c r="C129">
        <v>11</v>
      </c>
      <c r="D129" t="s">
        <v>27</v>
      </c>
      <c r="E129" t="s">
        <v>3</v>
      </c>
      <c r="F129" t="str">
        <f t="shared" si="3"/>
        <v>Andrew Joynt11</v>
      </c>
      <c r="G129">
        <v>0</v>
      </c>
      <c r="H129">
        <v>0</v>
      </c>
      <c r="I129" t="s">
        <v>24</v>
      </c>
      <c r="J129" t="s">
        <v>0</v>
      </c>
      <c r="K129">
        <f t="shared" si="4"/>
        <v>0</v>
      </c>
      <c r="L129">
        <f t="shared" si="5"/>
        <v>0</v>
      </c>
    </row>
    <row r="130" spans="2:12" x14ac:dyDescent="0.25">
      <c r="B130">
        <v>1</v>
      </c>
      <c r="C130">
        <v>11</v>
      </c>
      <c r="D130" t="s">
        <v>29</v>
      </c>
      <c r="E130" t="s">
        <v>5</v>
      </c>
      <c r="F130" t="str">
        <f t="shared" si="3"/>
        <v>mark silva11</v>
      </c>
      <c r="G130">
        <v>0</v>
      </c>
      <c r="H130">
        <v>0</v>
      </c>
      <c r="I130" t="s">
        <v>25</v>
      </c>
      <c r="J130" t="s">
        <v>1</v>
      </c>
      <c r="K130">
        <f t="shared" si="4"/>
        <v>0</v>
      </c>
      <c r="L130">
        <f t="shared" si="5"/>
        <v>0</v>
      </c>
    </row>
    <row r="131" spans="2:12" x14ac:dyDescent="0.25">
      <c r="B131">
        <v>1</v>
      </c>
      <c r="C131">
        <v>11</v>
      </c>
      <c r="D131" t="s">
        <v>31</v>
      </c>
      <c r="E131" t="s">
        <v>7</v>
      </c>
      <c r="F131" t="str">
        <f t="shared" si="3"/>
        <v>Stefan Hilts11</v>
      </c>
      <c r="G131">
        <v>0</v>
      </c>
      <c r="H131">
        <v>0</v>
      </c>
      <c r="I131" t="s">
        <v>26</v>
      </c>
      <c r="J131" t="s">
        <v>2</v>
      </c>
      <c r="K131">
        <f t="shared" si="4"/>
        <v>0</v>
      </c>
      <c r="L131">
        <f t="shared" si="5"/>
        <v>0</v>
      </c>
    </row>
    <row r="132" spans="2:12" x14ac:dyDescent="0.25">
      <c r="B132">
        <v>1</v>
      </c>
      <c r="C132">
        <v>11</v>
      </c>
      <c r="D132" t="s">
        <v>33</v>
      </c>
      <c r="E132" t="s">
        <v>9</v>
      </c>
      <c r="F132" t="str">
        <f t="shared" ref="F132:F170" si="6">E132&amp;C132</f>
        <v>Jesse Hershman, Rafael Dionello11</v>
      </c>
      <c r="G132">
        <v>0</v>
      </c>
      <c r="H132">
        <v>0</v>
      </c>
      <c r="I132" t="s">
        <v>28</v>
      </c>
      <c r="J132" t="s">
        <v>4</v>
      </c>
      <c r="K132">
        <f t="shared" ref="K132:K170" si="7">IF(G132=0,0,IF(G132=_xlfn.MAXIFS($G$3:$G$170,$C$3:$C$170,C132),1,0))</f>
        <v>0</v>
      </c>
      <c r="L132">
        <f t="shared" ref="L132:L170" si="8">IF(G132=0,0,IF(G132=_xlfn.MINIFS($G$3:$G$170,$C$3:$C$170,C132),1,0))</f>
        <v>0</v>
      </c>
    </row>
    <row r="133" spans="2:12" x14ac:dyDescent="0.25">
      <c r="B133">
        <v>1</v>
      </c>
      <c r="C133">
        <v>11</v>
      </c>
      <c r="D133" t="s">
        <v>35</v>
      </c>
      <c r="E133" t="s">
        <v>11</v>
      </c>
      <c r="F133" t="str">
        <f t="shared" si="6"/>
        <v>Stephen Joynt11</v>
      </c>
      <c r="G133">
        <v>0</v>
      </c>
      <c r="H133">
        <v>0</v>
      </c>
      <c r="I133" t="s">
        <v>30</v>
      </c>
      <c r="J133" t="s">
        <v>6</v>
      </c>
      <c r="K133">
        <f t="shared" si="7"/>
        <v>0</v>
      </c>
      <c r="L133">
        <f t="shared" si="8"/>
        <v>0</v>
      </c>
    </row>
    <row r="134" spans="2:12" x14ac:dyDescent="0.25">
      <c r="B134">
        <v>1</v>
      </c>
      <c r="C134">
        <v>11</v>
      </c>
      <c r="D134" t="s">
        <v>34</v>
      </c>
      <c r="E134" t="s">
        <v>10</v>
      </c>
      <c r="F134" t="str">
        <f t="shared" si="6"/>
        <v>Greg Smith11</v>
      </c>
      <c r="G134">
        <v>0</v>
      </c>
      <c r="H134">
        <v>0</v>
      </c>
      <c r="I134" t="s">
        <v>32</v>
      </c>
      <c r="J134" t="s">
        <v>8</v>
      </c>
      <c r="K134">
        <f t="shared" si="7"/>
        <v>0</v>
      </c>
      <c r="L134">
        <f t="shared" si="8"/>
        <v>0</v>
      </c>
    </row>
    <row r="135" spans="2:12" x14ac:dyDescent="0.25">
      <c r="B135">
        <v>0</v>
      </c>
      <c r="C135">
        <v>12</v>
      </c>
      <c r="D135" t="s">
        <v>25</v>
      </c>
      <c r="E135" t="s">
        <v>1</v>
      </c>
      <c r="F135" t="str">
        <f t="shared" si="6"/>
        <v>Robert Hilton12</v>
      </c>
      <c r="G135">
        <v>0</v>
      </c>
      <c r="H135">
        <v>0</v>
      </c>
      <c r="I135" t="s">
        <v>24</v>
      </c>
      <c r="J135" t="s">
        <v>0</v>
      </c>
      <c r="K135">
        <f t="shared" si="7"/>
        <v>0</v>
      </c>
      <c r="L135">
        <f t="shared" si="8"/>
        <v>0</v>
      </c>
    </row>
    <row r="136" spans="2:12" x14ac:dyDescent="0.25">
      <c r="B136">
        <v>0</v>
      </c>
      <c r="C136">
        <v>12</v>
      </c>
      <c r="D136" t="s">
        <v>27</v>
      </c>
      <c r="E136" t="s">
        <v>3</v>
      </c>
      <c r="F136" t="str">
        <f t="shared" si="6"/>
        <v>Andrew Joynt12</v>
      </c>
      <c r="G136">
        <v>0</v>
      </c>
      <c r="H136">
        <v>0</v>
      </c>
      <c r="I136" t="s">
        <v>26</v>
      </c>
      <c r="J136" t="s">
        <v>2</v>
      </c>
      <c r="K136">
        <f t="shared" si="7"/>
        <v>0</v>
      </c>
      <c r="L136">
        <f t="shared" si="8"/>
        <v>0</v>
      </c>
    </row>
    <row r="137" spans="2:12" x14ac:dyDescent="0.25">
      <c r="B137">
        <v>0</v>
      </c>
      <c r="C137">
        <v>12</v>
      </c>
      <c r="D137" t="s">
        <v>29</v>
      </c>
      <c r="E137" t="s">
        <v>5</v>
      </c>
      <c r="F137" t="str">
        <f t="shared" si="6"/>
        <v>mark silva12</v>
      </c>
      <c r="G137">
        <v>0</v>
      </c>
      <c r="H137">
        <v>0</v>
      </c>
      <c r="I137" t="s">
        <v>28</v>
      </c>
      <c r="J137" t="s">
        <v>4</v>
      </c>
      <c r="K137">
        <f t="shared" si="7"/>
        <v>0</v>
      </c>
      <c r="L137">
        <f t="shared" si="8"/>
        <v>0</v>
      </c>
    </row>
    <row r="138" spans="2:12" x14ac:dyDescent="0.25">
      <c r="B138">
        <v>0</v>
      </c>
      <c r="C138">
        <v>12</v>
      </c>
      <c r="D138" t="s">
        <v>31</v>
      </c>
      <c r="E138" t="s">
        <v>7</v>
      </c>
      <c r="F138" t="str">
        <f t="shared" si="6"/>
        <v>Stefan Hilts12</v>
      </c>
      <c r="G138">
        <v>0</v>
      </c>
      <c r="H138">
        <v>0</v>
      </c>
      <c r="I138" t="s">
        <v>30</v>
      </c>
      <c r="J138" t="s">
        <v>6</v>
      </c>
      <c r="K138">
        <f t="shared" si="7"/>
        <v>0</v>
      </c>
      <c r="L138">
        <f t="shared" si="8"/>
        <v>0</v>
      </c>
    </row>
    <row r="139" spans="2:12" x14ac:dyDescent="0.25">
      <c r="B139">
        <v>0</v>
      </c>
      <c r="C139">
        <v>12</v>
      </c>
      <c r="D139" t="s">
        <v>33</v>
      </c>
      <c r="E139" t="s">
        <v>9</v>
      </c>
      <c r="F139" t="str">
        <f t="shared" si="6"/>
        <v>Jesse Hershman, Rafael Dionello12</v>
      </c>
      <c r="G139">
        <v>0</v>
      </c>
      <c r="H139">
        <v>0</v>
      </c>
      <c r="I139" t="s">
        <v>32</v>
      </c>
      <c r="J139" t="s">
        <v>8</v>
      </c>
      <c r="K139">
        <f t="shared" si="7"/>
        <v>0</v>
      </c>
      <c r="L139">
        <f t="shared" si="8"/>
        <v>0</v>
      </c>
    </row>
    <row r="140" spans="2:12" x14ac:dyDescent="0.25">
      <c r="B140">
        <v>0</v>
      </c>
      <c r="C140">
        <v>12</v>
      </c>
      <c r="D140" t="s">
        <v>35</v>
      </c>
      <c r="E140" t="s">
        <v>11</v>
      </c>
      <c r="F140" t="str">
        <f t="shared" si="6"/>
        <v>Stephen Joynt12</v>
      </c>
      <c r="G140">
        <v>0</v>
      </c>
      <c r="H140">
        <v>0</v>
      </c>
      <c r="I140" t="s">
        <v>34</v>
      </c>
      <c r="J140" t="s">
        <v>10</v>
      </c>
      <c r="K140">
        <f t="shared" si="7"/>
        <v>0</v>
      </c>
      <c r="L140">
        <f t="shared" si="8"/>
        <v>0</v>
      </c>
    </row>
    <row r="141" spans="2:12" x14ac:dyDescent="0.25">
      <c r="B141">
        <v>1</v>
      </c>
      <c r="C141">
        <v>12</v>
      </c>
      <c r="D141" t="s">
        <v>24</v>
      </c>
      <c r="E141" t="s">
        <v>0</v>
      </c>
      <c r="F141" t="str">
        <f t="shared" si="6"/>
        <v>Dan Cohen12</v>
      </c>
      <c r="G141">
        <v>0</v>
      </c>
      <c r="H141">
        <v>0</v>
      </c>
      <c r="I141" t="s">
        <v>25</v>
      </c>
      <c r="J141" t="s">
        <v>1</v>
      </c>
      <c r="K141">
        <f t="shared" si="7"/>
        <v>0</v>
      </c>
      <c r="L141">
        <f t="shared" si="8"/>
        <v>0</v>
      </c>
    </row>
    <row r="142" spans="2:12" x14ac:dyDescent="0.25">
      <c r="B142">
        <v>1</v>
      </c>
      <c r="C142">
        <v>12</v>
      </c>
      <c r="D142" t="s">
        <v>26</v>
      </c>
      <c r="E142" t="s">
        <v>2</v>
      </c>
      <c r="F142" t="str">
        <f t="shared" si="6"/>
        <v>William Schager12</v>
      </c>
      <c r="G142">
        <v>0</v>
      </c>
      <c r="H142">
        <v>0</v>
      </c>
      <c r="I142" t="s">
        <v>27</v>
      </c>
      <c r="J142" t="s">
        <v>3</v>
      </c>
      <c r="K142">
        <f t="shared" si="7"/>
        <v>0</v>
      </c>
      <c r="L142">
        <f t="shared" si="8"/>
        <v>0</v>
      </c>
    </row>
    <row r="143" spans="2:12" x14ac:dyDescent="0.25">
      <c r="B143">
        <v>1</v>
      </c>
      <c r="C143">
        <v>12</v>
      </c>
      <c r="D143" t="s">
        <v>28</v>
      </c>
      <c r="E143" t="s">
        <v>4</v>
      </c>
      <c r="F143" t="str">
        <f t="shared" si="6"/>
        <v>Paulo Silva12</v>
      </c>
      <c r="G143">
        <v>0</v>
      </c>
      <c r="H143">
        <v>0</v>
      </c>
      <c r="I143" t="s">
        <v>29</v>
      </c>
      <c r="J143" t="s">
        <v>5</v>
      </c>
      <c r="K143">
        <f t="shared" si="7"/>
        <v>0</v>
      </c>
      <c r="L143">
        <f t="shared" si="8"/>
        <v>0</v>
      </c>
    </row>
    <row r="144" spans="2:12" x14ac:dyDescent="0.25">
      <c r="B144">
        <v>1</v>
      </c>
      <c r="C144">
        <v>12</v>
      </c>
      <c r="D144" t="s">
        <v>30</v>
      </c>
      <c r="E144" t="s">
        <v>6</v>
      </c>
      <c r="F144" t="str">
        <f t="shared" si="6"/>
        <v>Karl Richardson12</v>
      </c>
      <c r="G144">
        <v>0</v>
      </c>
      <c r="H144">
        <v>0</v>
      </c>
      <c r="I144" t="s">
        <v>31</v>
      </c>
      <c r="J144" t="s">
        <v>7</v>
      </c>
      <c r="K144">
        <f t="shared" si="7"/>
        <v>0</v>
      </c>
      <c r="L144">
        <f t="shared" si="8"/>
        <v>0</v>
      </c>
    </row>
    <row r="145" spans="2:12" x14ac:dyDescent="0.25">
      <c r="B145">
        <v>1</v>
      </c>
      <c r="C145">
        <v>12</v>
      </c>
      <c r="D145" t="s">
        <v>32</v>
      </c>
      <c r="E145" t="s">
        <v>8</v>
      </c>
      <c r="F145" t="str">
        <f t="shared" si="6"/>
        <v>Emile Chin-Dickey12</v>
      </c>
      <c r="G145">
        <v>0</v>
      </c>
      <c r="H145">
        <v>0</v>
      </c>
      <c r="I145" t="s">
        <v>33</v>
      </c>
      <c r="J145" t="s">
        <v>9</v>
      </c>
      <c r="K145">
        <f t="shared" si="7"/>
        <v>0</v>
      </c>
      <c r="L145">
        <f t="shared" si="8"/>
        <v>0</v>
      </c>
    </row>
    <row r="146" spans="2:12" x14ac:dyDescent="0.25">
      <c r="B146">
        <v>1</v>
      </c>
      <c r="C146">
        <v>12</v>
      </c>
      <c r="D146" t="s">
        <v>34</v>
      </c>
      <c r="E146" t="s">
        <v>10</v>
      </c>
      <c r="F146" t="str">
        <f t="shared" si="6"/>
        <v>Greg Smith12</v>
      </c>
      <c r="G146">
        <v>0</v>
      </c>
      <c r="H146">
        <v>0</v>
      </c>
      <c r="I146" t="s">
        <v>35</v>
      </c>
      <c r="J146" t="s">
        <v>11</v>
      </c>
      <c r="K146">
        <f t="shared" si="7"/>
        <v>0</v>
      </c>
      <c r="L146">
        <f t="shared" si="8"/>
        <v>0</v>
      </c>
    </row>
    <row r="147" spans="2:12" x14ac:dyDescent="0.25">
      <c r="B147">
        <v>0</v>
      </c>
      <c r="C147">
        <v>13</v>
      </c>
      <c r="D147" t="s">
        <v>24</v>
      </c>
      <c r="E147" t="s">
        <v>0</v>
      </c>
      <c r="F147" t="str">
        <f t="shared" si="6"/>
        <v>Dan Cohen13</v>
      </c>
      <c r="G147">
        <v>0</v>
      </c>
      <c r="H147">
        <v>0</v>
      </c>
      <c r="I147" t="s">
        <v>26</v>
      </c>
      <c r="J147" t="s">
        <v>2</v>
      </c>
      <c r="K147">
        <f t="shared" si="7"/>
        <v>0</v>
      </c>
      <c r="L147">
        <f t="shared" si="8"/>
        <v>0</v>
      </c>
    </row>
    <row r="148" spans="2:12" x14ac:dyDescent="0.25">
      <c r="B148">
        <v>0</v>
      </c>
      <c r="C148">
        <v>13</v>
      </c>
      <c r="D148" t="s">
        <v>28</v>
      </c>
      <c r="E148" t="s">
        <v>4</v>
      </c>
      <c r="F148" t="str">
        <f t="shared" si="6"/>
        <v>Paulo Silva13</v>
      </c>
      <c r="G148">
        <v>0</v>
      </c>
      <c r="H148">
        <v>0</v>
      </c>
      <c r="I148" t="s">
        <v>25</v>
      </c>
      <c r="J148" t="s">
        <v>1</v>
      </c>
      <c r="K148">
        <f t="shared" si="7"/>
        <v>0</v>
      </c>
      <c r="L148">
        <f t="shared" si="8"/>
        <v>0</v>
      </c>
    </row>
    <row r="149" spans="2:12" x14ac:dyDescent="0.25">
      <c r="B149">
        <v>0</v>
      </c>
      <c r="C149">
        <v>13</v>
      </c>
      <c r="D149" t="s">
        <v>30</v>
      </c>
      <c r="E149" t="s">
        <v>6</v>
      </c>
      <c r="F149" t="str">
        <f t="shared" si="6"/>
        <v>Karl Richardson13</v>
      </c>
      <c r="G149">
        <v>0</v>
      </c>
      <c r="H149">
        <v>0</v>
      </c>
      <c r="I149" t="s">
        <v>27</v>
      </c>
      <c r="J149" t="s">
        <v>3</v>
      </c>
      <c r="K149">
        <f t="shared" si="7"/>
        <v>0</v>
      </c>
      <c r="L149">
        <f t="shared" si="8"/>
        <v>0</v>
      </c>
    </row>
    <row r="150" spans="2:12" x14ac:dyDescent="0.25">
      <c r="B150">
        <v>0</v>
      </c>
      <c r="C150">
        <v>13</v>
      </c>
      <c r="D150" t="s">
        <v>32</v>
      </c>
      <c r="E150" t="s">
        <v>8</v>
      </c>
      <c r="F150" t="str">
        <f t="shared" si="6"/>
        <v>Emile Chin-Dickey13</v>
      </c>
      <c r="G150">
        <v>0</v>
      </c>
      <c r="H150">
        <v>0</v>
      </c>
      <c r="I150" t="s">
        <v>29</v>
      </c>
      <c r="J150" t="s">
        <v>5</v>
      </c>
      <c r="K150">
        <f t="shared" si="7"/>
        <v>0</v>
      </c>
      <c r="L150">
        <f t="shared" si="8"/>
        <v>0</v>
      </c>
    </row>
    <row r="151" spans="2:12" x14ac:dyDescent="0.25">
      <c r="B151">
        <v>0</v>
      </c>
      <c r="C151">
        <v>13</v>
      </c>
      <c r="D151" t="s">
        <v>34</v>
      </c>
      <c r="E151" t="s">
        <v>10</v>
      </c>
      <c r="F151" t="str">
        <f t="shared" si="6"/>
        <v>Greg Smith13</v>
      </c>
      <c r="G151">
        <v>0</v>
      </c>
      <c r="H151">
        <v>0</v>
      </c>
      <c r="I151" t="s">
        <v>31</v>
      </c>
      <c r="J151" t="s">
        <v>7</v>
      </c>
      <c r="K151">
        <f t="shared" si="7"/>
        <v>0</v>
      </c>
      <c r="L151">
        <f t="shared" si="8"/>
        <v>0</v>
      </c>
    </row>
    <row r="152" spans="2:12" x14ac:dyDescent="0.25">
      <c r="B152">
        <v>0</v>
      </c>
      <c r="C152">
        <v>13</v>
      </c>
      <c r="D152" t="s">
        <v>35</v>
      </c>
      <c r="E152" t="s">
        <v>11</v>
      </c>
      <c r="F152" t="str">
        <f t="shared" si="6"/>
        <v>Stephen Joynt13</v>
      </c>
      <c r="G152">
        <v>0</v>
      </c>
      <c r="H152">
        <v>0</v>
      </c>
      <c r="I152" t="s">
        <v>33</v>
      </c>
      <c r="J152" t="s">
        <v>9</v>
      </c>
      <c r="K152">
        <f t="shared" si="7"/>
        <v>0</v>
      </c>
      <c r="L152">
        <f t="shared" si="8"/>
        <v>0</v>
      </c>
    </row>
    <row r="153" spans="2:12" x14ac:dyDescent="0.25">
      <c r="B153">
        <v>1</v>
      </c>
      <c r="C153">
        <v>13</v>
      </c>
      <c r="D153" t="s">
        <v>26</v>
      </c>
      <c r="E153" t="s">
        <v>2</v>
      </c>
      <c r="F153" t="str">
        <f t="shared" si="6"/>
        <v>William Schager13</v>
      </c>
      <c r="G153">
        <v>0</v>
      </c>
      <c r="H153">
        <v>0</v>
      </c>
      <c r="I153" t="s">
        <v>24</v>
      </c>
      <c r="J153" t="s">
        <v>0</v>
      </c>
      <c r="K153">
        <f t="shared" si="7"/>
        <v>0</v>
      </c>
      <c r="L153">
        <f t="shared" si="8"/>
        <v>0</v>
      </c>
    </row>
    <row r="154" spans="2:12" x14ac:dyDescent="0.25">
      <c r="B154">
        <v>1</v>
      </c>
      <c r="C154">
        <v>13</v>
      </c>
      <c r="D154" t="s">
        <v>25</v>
      </c>
      <c r="E154" t="s">
        <v>1</v>
      </c>
      <c r="F154" t="str">
        <f t="shared" si="6"/>
        <v>Robert Hilton13</v>
      </c>
      <c r="G154">
        <v>0</v>
      </c>
      <c r="H154">
        <v>0</v>
      </c>
      <c r="I154" t="s">
        <v>28</v>
      </c>
      <c r="J154" t="s">
        <v>4</v>
      </c>
      <c r="K154">
        <f t="shared" si="7"/>
        <v>0</v>
      </c>
      <c r="L154">
        <f t="shared" si="8"/>
        <v>0</v>
      </c>
    </row>
    <row r="155" spans="2:12" x14ac:dyDescent="0.25">
      <c r="B155">
        <v>1</v>
      </c>
      <c r="C155">
        <v>13</v>
      </c>
      <c r="D155" t="s">
        <v>27</v>
      </c>
      <c r="E155" t="s">
        <v>3</v>
      </c>
      <c r="F155" t="str">
        <f t="shared" si="6"/>
        <v>Andrew Joynt13</v>
      </c>
      <c r="G155">
        <v>0</v>
      </c>
      <c r="H155">
        <v>0</v>
      </c>
      <c r="I155" t="s">
        <v>30</v>
      </c>
      <c r="J155" t="s">
        <v>6</v>
      </c>
      <c r="K155">
        <f t="shared" si="7"/>
        <v>0</v>
      </c>
      <c r="L155">
        <f t="shared" si="8"/>
        <v>0</v>
      </c>
    </row>
    <row r="156" spans="2:12" x14ac:dyDescent="0.25">
      <c r="B156">
        <v>1</v>
      </c>
      <c r="C156">
        <v>13</v>
      </c>
      <c r="D156" t="s">
        <v>29</v>
      </c>
      <c r="E156" t="s">
        <v>5</v>
      </c>
      <c r="F156" t="str">
        <f t="shared" si="6"/>
        <v>mark silva13</v>
      </c>
      <c r="G156">
        <v>0</v>
      </c>
      <c r="H156">
        <v>0</v>
      </c>
      <c r="I156" t="s">
        <v>32</v>
      </c>
      <c r="J156" t="s">
        <v>8</v>
      </c>
      <c r="K156">
        <f t="shared" si="7"/>
        <v>0</v>
      </c>
      <c r="L156">
        <f t="shared" si="8"/>
        <v>0</v>
      </c>
    </row>
    <row r="157" spans="2:12" x14ac:dyDescent="0.25">
      <c r="B157">
        <v>1</v>
      </c>
      <c r="C157">
        <v>13</v>
      </c>
      <c r="D157" t="s">
        <v>31</v>
      </c>
      <c r="E157" t="s">
        <v>7</v>
      </c>
      <c r="F157" t="str">
        <f t="shared" si="6"/>
        <v>Stefan Hilts13</v>
      </c>
      <c r="G157">
        <v>0</v>
      </c>
      <c r="H157">
        <v>0</v>
      </c>
      <c r="I157" t="s">
        <v>34</v>
      </c>
      <c r="J157" t="s">
        <v>10</v>
      </c>
      <c r="K157">
        <f t="shared" si="7"/>
        <v>0</v>
      </c>
      <c r="L157">
        <f t="shared" si="8"/>
        <v>0</v>
      </c>
    </row>
    <row r="158" spans="2:12" x14ac:dyDescent="0.25">
      <c r="B158">
        <v>1</v>
      </c>
      <c r="C158">
        <v>13</v>
      </c>
      <c r="D158" t="s">
        <v>33</v>
      </c>
      <c r="E158" t="s">
        <v>9</v>
      </c>
      <c r="F158" t="str">
        <f t="shared" si="6"/>
        <v>Jesse Hershman, Rafael Dionello13</v>
      </c>
      <c r="G158">
        <v>0</v>
      </c>
      <c r="H158">
        <v>0</v>
      </c>
      <c r="I158" t="s">
        <v>35</v>
      </c>
      <c r="J158" t="s">
        <v>11</v>
      </c>
      <c r="K158">
        <f t="shared" si="7"/>
        <v>0</v>
      </c>
      <c r="L158">
        <f t="shared" si="8"/>
        <v>0</v>
      </c>
    </row>
    <row r="159" spans="2:12" x14ac:dyDescent="0.25">
      <c r="B159">
        <v>0</v>
      </c>
      <c r="C159">
        <v>14</v>
      </c>
      <c r="D159" t="s">
        <v>28</v>
      </c>
      <c r="E159" t="s">
        <v>4</v>
      </c>
      <c r="F159" t="str">
        <f t="shared" si="6"/>
        <v>Paulo Silva14</v>
      </c>
      <c r="G159">
        <v>0</v>
      </c>
      <c r="H159">
        <v>0</v>
      </c>
      <c r="I159" t="s">
        <v>24</v>
      </c>
      <c r="J159" t="s">
        <v>0</v>
      </c>
      <c r="K159">
        <f t="shared" si="7"/>
        <v>0</v>
      </c>
      <c r="L159">
        <f t="shared" si="8"/>
        <v>0</v>
      </c>
    </row>
    <row r="160" spans="2:12" x14ac:dyDescent="0.25">
      <c r="B160">
        <v>0</v>
      </c>
      <c r="C160">
        <v>14</v>
      </c>
      <c r="D160" t="s">
        <v>26</v>
      </c>
      <c r="E160" t="s">
        <v>2</v>
      </c>
      <c r="F160" t="str">
        <f t="shared" si="6"/>
        <v>William Schager14</v>
      </c>
      <c r="G160">
        <v>0</v>
      </c>
      <c r="H160">
        <v>0</v>
      </c>
      <c r="I160" t="s">
        <v>30</v>
      </c>
      <c r="J160" t="s">
        <v>6</v>
      </c>
      <c r="K160">
        <f t="shared" si="7"/>
        <v>0</v>
      </c>
      <c r="L160">
        <f t="shared" si="8"/>
        <v>0</v>
      </c>
    </row>
    <row r="161" spans="2:12" x14ac:dyDescent="0.25">
      <c r="B161">
        <v>0</v>
      </c>
      <c r="C161">
        <v>14</v>
      </c>
      <c r="D161" t="s">
        <v>25</v>
      </c>
      <c r="E161" t="s">
        <v>1</v>
      </c>
      <c r="F161" t="str">
        <f t="shared" si="6"/>
        <v>Robert Hilton14</v>
      </c>
      <c r="G161">
        <v>0</v>
      </c>
      <c r="H161">
        <v>0</v>
      </c>
      <c r="I161" t="s">
        <v>32</v>
      </c>
      <c r="J161" t="s">
        <v>8</v>
      </c>
      <c r="K161">
        <f t="shared" si="7"/>
        <v>0</v>
      </c>
      <c r="L161">
        <f t="shared" si="8"/>
        <v>0</v>
      </c>
    </row>
    <row r="162" spans="2:12" x14ac:dyDescent="0.25">
      <c r="B162">
        <v>0</v>
      </c>
      <c r="C162">
        <v>14</v>
      </c>
      <c r="D162" t="s">
        <v>27</v>
      </c>
      <c r="E162" t="s">
        <v>3</v>
      </c>
      <c r="F162" t="str">
        <f t="shared" si="6"/>
        <v>Andrew Joynt14</v>
      </c>
      <c r="G162">
        <v>0</v>
      </c>
      <c r="H162">
        <v>0</v>
      </c>
      <c r="I162" t="s">
        <v>34</v>
      </c>
      <c r="J162" t="s">
        <v>10</v>
      </c>
      <c r="K162">
        <f t="shared" si="7"/>
        <v>0</v>
      </c>
      <c r="L162">
        <f t="shared" si="8"/>
        <v>0</v>
      </c>
    </row>
    <row r="163" spans="2:12" x14ac:dyDescent="0.25">
      <c r="B163">
        <v>0</v>
      </c>
      <c r="C163">
        <v>14</v>
      </c>
      <c r="D163" t="s">
        <v>29</v>
      </c>
      <c r="E163" t="s">
        <v>5</v>
      </c>
      <c r="F163" t="str">
        <f t="shared" si="6"/>
        <v>mark silva14</v>
      </c>
      <c r="G163">
        <v>0</v>
      </c>
      <c r="H163">
        <v>0</v>
      </c>
      <c r="I163" t="s">
        <v>35</v>
      </c>
      <c r="J163" t="s">
        <v>11</v>
      </c>
      <c r="K163">
        <f t="shared" si="7"/>
        <v>0</v>
      </c>
      <c r="L163">
        <f t="shared" si="8"/>
        <v>0</v>
      </c>
    </row>
    <row r="164" spans="2:12" x14ac:dyDescent="0.25">
      <c r="B164">
        <v>0</v>
      </c>
      <c r="C164">
        <v>14</v>
      </c>
      <c r="D164" t="s">
        <v>31</v>
      </c>
      <c r="E164" t="s">
        <v>7</v>
      </c>
      <c r="F164" t="str">
        <f t="shared" si="6"/>
        <v>Stefan Hilts14</v>
      </c>
      <c r="G164">
        <v>0</v>
      </c>
      <c r="H164">
        <v>0</v>
      </c>
      <c r="I164" t="s">
        <v>33</v>
      </c>
      <c r="J164" t="s">
        <v>9</v>
      </c>
      <c r="K164">
        <f t="shared" si="7"/>
        <v>0</v>
      </c>
      <c r="L164">
        <f t="shared" si="8"/>
        <v>0</v>
      </c>
    </row>
    <row r="165" spans="2:12" x14ac:dyDescent="0.25">
      <c r="B165">
        <v>1</v>
      </c>
      <c r="C165">
        <v>14</v>
      </c>
      <c r="D165" t="s">
        <v>24</v>
      </c>
      <c r="E165" t="s">
        <v>0</v>
      </c>
      <c r="F165" t="str">
        <f t="shared" si="6"/>
        <v>Dan Cohen14</v>
      </c>
      <c r="G165">
        <v>0</v>
      </c>
      <c r="H165">
        <v>0</v>
      </c>
      <c r="I165" t="s">
        <v>28</v>
      </c>
      <c r="J165" t="s">
        <v>4</v>
      </c>
      <c r="K165">
        <f t="shared" si="7"/>
        <v>0</v>
      </c>
      <c r="L165">
        <f t="shared" si="8"/>
        <v>0</v>
      </c>
    </row>
    <row r="166" spans="2:12" x14ac:dyDescent="0.25">
      <c r="B166">
        <v>1</v>
      </c>
      <c r="C166">
        <v>14</v>
      </c>
      <c r="D166" t="s">
        <v>30</v>
      </c>
      <c r="E166" t="s">
        <v>6</v>
      </c>
      <c r="F166" t="str">
        <f t="shared" si="6"/>
        <v>Karl Richardson14</v>
      </c>
      <c r="G166">
        <v>0</v>
      </c>
      <c r="H166">
        <v>0</v>
      </c>
      <c r="I166" t="s">
        <v>26</v>
      </c>
      <c r="J166" t="s">
        <v>2</v>
      </c>
      <c r="K166">
        <f t="shared" si="7"/>
        <v>0</v>
      </c>
      <c r="L166">
        <f t="shared" si="8"/>
        <v>0</v>
      </c>
    </row>
    <row r="167" spans="2:12" x14ac:dyDescent="0.25">
      <c r="B167">
        <v>1</v>
      </c>
      <c r="C167">
        <v>14</v>
      </c>
      <c r="D167" t="s">
        <v>32</v>
      </c>
      <c r="E167" t="s">
        <v>8</v>
      </c>
      <c r="F167" t="str">
        <f t="shared" si="6"/>
        <v>Emile Chin-Dickey14</v>
      </c>
      <c r="G167">
        <v>0</v>
      </c>
      <c r="H167">
        <v>0</v>
      </c>
      <c r="I167" t="s">
        <v>25</v>
      </c>
      <c r="J167" t="s">
        <v>1</v>
      </c>
      <c r="K167">
        <f t="shared" si="7"/>
        <v>0</v>
      </c>
      <c r="L167">
        <f t="shared" si="8"/>
        <v>0</v>
      </c>
    </row>
    <row r="168" spans="2:12" x14ac:dyDescent="0.25">
      <c r="B168">
        <v>1</v>
      </c>
      <c r="C168">
        <v>14</v>
      </c>
      <c r="D168" t="s">
        <v>34</v>
      </c>
      <c r="E168" t="s">
        <v>10</v>
      </c>
      <c r="F168" t="str">
        <f t="shared" si="6"/>
        <v>Greg Smith14</v>
      </c>
      <c r="G168">
        <v>0</v>
      </c>
      <c r="H168">
        <v>0</v>
      </c>
      <c r="I168" t="s">
        <v>27</v>
      </c>
      <c r="J168" t="s">
        <v>3</v>
      </c>
      <c r="K168">
        <f t="shared" si="7"/>
        <v>0</v>
      </c>
      <c r="L168">
        <f t="shared" si="8"/>
        <v>0</v>
      </c>
    </row>
    <row r="169" spans="2:12" x14ac:dyDescent="0.25">
      <c r="B169">
        <v>1</v>
      </c>
      <c r="C169">
        <v>14</v>
      </c>
      <c r="D169" t="s">
        <v>35</v>
      </c>
      <c r="E169" t="s">
        <v>11</v>
      </c>
      <c r="F169" t="str">
        <f t="shared" si="6"/>
        <v>Stephen Joynt14</v>
      </c>
      <c r="G169">
        <v>0</v>
      </c>
      <c r="H169">
        <v>0</v>
      </c>
      <c r="I169" t="s">
        <v>29</v>
      </c>
      <c r="J169" t="s">
        <v>5</v>
      </c>
      <c r="K169">
        <f t="shared" si="7"/>
        <v>0</v>
      </c>
      <c r="L169">
        <f t="shared" si="8"/>
        <v>0</v>
      </c>
    </row>
    <row r="170" spans="2:12" x14ac:dyDescent="0.25">
      <c r="B170">
        <v>1</v>
      </c>
      <c r="C170">
        <v>14</v>
      </c>
      <c r="D170" t="s">
        <v>33</v>
      </c>
      <c r="E170" t="s">
        <v>9</v>
      </c>
      <c r="F170" t="str">
        <f t="shared" si="6"/>
        <v>Jesse Hershman, Rafael Dionello14</v>
      </c>
      <c r="G170">
        <v>0</v>
      </c>
      <c r="H170">
        <v>0</v>
      </c>
      <c r="I170" t="s">
        <v>31</v>
      </c>
      <c r="J170" t="s">
        <v>7</v>
      </c>
      <c r="K170">
        <f t="shared" si="7"/>
        <v>0</v>
      </c>
      <c r="L170">
        <f t="shared" si="8"/>
        <v>0</v>
      </c>
    </row>
  </sheetData>
  <sortState xmlns:xlrd2="http://schemas.microsoft.com/office/spreadsheetml/2017/richdata2" ref="B3:L170">
    <sortCondition ref="C3:C170"/>
    <sortCondition ref="G3:G170"/>
  </sortState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Hilts</dc:creator>
  <cp:lastModifiedBy>Stefan Hilts</cp:lastModifiedBy>
  <dcterms:created xsi:type="dcterms:W3CDTF">2021-11-17T13:00:17Z</dcterms:created>
  <dcterms:modified xsi:type="dcterms:W3CDTF">2021-11-19T15:35:08Z</dcterms:modified>
</cp:coreProperties>
</file>